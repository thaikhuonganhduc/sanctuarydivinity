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guyen Gia Bao\Downloads\"/>
    </mc:Choice>
  </mc:AlternateContent>
  <xr:revisionPtr revIDLastSave="0" documentId="13_ncr:1_{563B8A6F-3563-4615-AB6E-8D31FE6EB982}" xr6:coauthVersionLast="47" xr6:coauthVersionMax="47" xr10:uidLastSave="{00000000-0000-0000-0000-000000000000}"/>
  <bookViews>
    <workbookView xWindow="-98" yWindow="-98" windowWidth="24196" windowHeight="14476" firstSheet="1" activeTab="6" xr2:uid="{00000000-000D-0000-FFFF-FFFF00000000}"/>
  </bookViews>
  <sheets>
    <sheet name="00_Huong dan" sheetId="1" r:id="rId1"/>
    <sheet name="01_Tong quan" sheetId="2" r:id="rId2"/>
    <sheet name="02_Bugs" sheetId="3" r:id="rId3"/>
    <sheet name="03_Tinh nang" sheetId="4" r:id="rId4"/>
    <sheet name="04_Test cases" sheetId="5" r:id="rId5"/>
    <sheet name="05_RTM" sheetId="6" r:id="rId6"/>
    <sheet name="06_Cong viec" sheetId="7" r:id="rId7"/>
    <sheet name="07_Kiem tra tinh" sheetId="8" r:id="rId8"/>
    <sheet name="08_Dashboa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9" l="1"/>
  <c r="B11" i="9"/>
  <c r="B10" i="9"/>
  <c r="B9" i="9"/>
  <c r="B6" i="9"/>
  <c r="B5" i="9"/>
  <c r="B4" i="9"/>
  <c r="B8" i="9" s="1"/>
  <c r="B3" i="9"/>
  <c r="B7" i="9" s="1"/>
  <c r="B2" i="9"/>
</calcChain>
</file>

<file path=xl/sharedStrings.xml><?xml version="1.0" encoding="utf-8"?>
<sst xmlns="http://schemas.openxmlformats.org/spreadsheetml/2006/main" count="1585" uniqueCount="900">
  <si>
    <t>Mục</t>
  </si>
  <si>
    <t>Hướng dẫn / Nguồn</t>
  </si>
  <si>
    <t>MỤC ĐÍCH</t>
  </si>
  <si>
    <t>Bàn giao QA cho nhóm phát triển; dữ liệu nguồn: báo cáo audit markdown do Codex cung cấp.</t>
  </si>
  <si>
    <t>HỆ THỐNG</t>
  </si>
  <si>
    <t>Website thương mại điện tử mô phỏng; HTML/CSS/JavaScript; dữ liệu JSON và browser storage; không có backend/database server.</t>
  </si>
  <si>
    <t>PHẠM VI</t>
  </si>
  <si>
    <t>Lỗi B01–B14, đề xuất M01–M10, test case, yêu cầu RTM, công việc xử lý.</t>
  </si>
  <si>
    <t>TRẠNG THÁI KIỂM THỬ</t>
  </si>
  <si>
    <t>8 kiểm tra tĩnh Pass; 62 test nghiệp vụ chưa chạy. KHÔNG xác nhận chức năng runtime Pass.</t>
  </si>
  <si>
    <t>LƯU Ý VỀ SỐ LƯỢNG</t>
  </si>
  <si>
    <t>Báo cáo gốc ghi 71 test/63 chưa chạy; kiểm đếm ID thực tế trong bảng chỉ có 70 test/62 chưa chạy. File dùng số đếm từ từng ID.</t>
  </si>
  <si>
    <t>NGUYÊN TẮC BÀN GIAO</t>
  </si>
  <si>
    <t>Bug B01–B14 đều là phát hiện audit mã nguồn, không phải lỗi đã tái hiện trên trình duyệt.</t>
  </si>
  <si>
    <t>DEV CẬP NHẬT</t>
  </si>
  <si>
    <t>Sử dụng cột 'Trạng thái dev', 'Phụ trách', 'Ghi chú dev' trên sheet Bugs / Tính năng / Công việc.</t>
  </si>
  <si>
    <t>QA CẬP NHẬT</t>
  </si>
  <si>
    <t>Trong sheet Test cases, cập nhật 'Thực tế', 'Trạng thái chạy', 'Kết quả', 'Evidence thực thi' sau khi có môi trường kiểm thử an toàn.</t>
  </si>
  <si>
    <t>MỨC ƯU TIÊN</t>
  </si>
  <si>
    <t>P0 = khẩn cấp/cốt lõi; P1 = quan trọng; P2 = khuyến nghị; P3 = tùy chọn.</t>
  </si>
  <si>
    <t>PHÂN BIỆT</t>
  </si>
  <si>
    <t>'Phân tích tĩnh' không đồng nghĩa 'Đã tái hiện lỗi'. 'Not Run' không đồng nghĩa 'Pass' hay 'Fail'.</t>
  </si>
  <si>
    <t>GỐC DỮ LIỆU</t>
  </si>
  <si>
    <t>Tệp Đã dán markdown (1).md; chưa kiểm tra lại trực tiếp repository gốc.</t>
  </si>
  <si>
    <t>Module</t>
  </si>
  <si>
    <t>Chức năng</t>
  </si>
  <si>
    <t>Frontend</t>
  </si>
  <si>
    <t>Backend/API</t>
  </si>
  <si>
    <t>Database/lưu trữ</t>
  </si>
  <si>
    <t>Trạng thái</t>
  </si>
  <si>
    <t>Gate</t>
  </si>
  <si>
    <t>Nhập mã customer/admin, chuyển trang</t>
  </si>
  <si>
    <t>gate.js, guard.js</t>
  </si>
  <si>
    <t>Fetch access.json</t>
  </si>
  <si>
    <t>sessionStorage</t>
  </si>
  <si>
    <t>Implemented</t>
  </si>
  <si>
    <t>Countdown</t>
  </si>
  <si>
    <t>Hiển thị ngày và thời gian còn lại</t>
  </si>
  <si>
    <t>countdown.js</t>
  </si>
  <si>
    <t>Không</t>
  </si>
  <si>
    <t>localStorage override</t>
  </si>
  <si>
    <t>Partial: chưa có UI quản trị ngày</t>
  </si>
  <si>
    <t>Authentication</t>
  </si>
  <si>
    <t>Đăng ký, đăng nhập, đăng xuất</t>
  </si>
  <si>
    <t>auth.js, auth-ui.js</t>
  </si>
  <si>
    <t>localStorage</t>
  </si>
  <si>
    <t>Implemented, mô phỏng</t>
  </si>
  <si>
    <t>Account</t>
  </si>
  <si>
    <t>Sửa hồ sơ, đổi mật khẩu, xem đơn</t>
  </si>
  <si>
    <t>account-page.js</t>
  </si>
  <si>
    <t>Catalog</t>
  </si>
  <si>
    <t>Phân khu nam/nữ/phụ kiện, nhóm sản phẩm</t>
  </si>
  <si>
    <t>shop.js, products.js</t>
  </si>
  <si>
    <t>Fetch products</t>
  </si>
  <si>
    <t>JSON + overrides</t>
  </si>
  <si>
    <t>Product detail</t>
  </si>
  <si>
    <t>Màu, ảnh, size, số lượng, mua hàng</t>
  </si>
  <si>
    <t>product-popup.js</t>
  </si>
  <si>
    <t>Giỏ localStorage</t>
  </si>
  <si>
    <t>Partial</t>
  </si>
  <si>
    <t>Size finder</t>
  </si>
  <si>
    <t>Nhập số đo, gợi ý size</t>
  </si>
  <si>
    <t>size-finder.js</t>
  </si>
  <si>
    <t>Fetch bảng size</t>
  </si>
  <si>
    <t>JSON</t>
  </si>
  <si>
    <t>Implemented, cần kiểm thử</t>
  </si>
  <si>
    <t>Reviews</t>
  </si>
  <si>
    <t>Lọc sao, hiện thêm, popup, slideshow</t>
  </si>
  <si>
    <t>reviews.js</t>
  </si>
  <si>
    <t>Fetch reviews</t>
  </si>
  <si>
    <t>Currency</t>
  </si>
  <si>
    <t>Đổi tiền, cache, fallback</t>
  </si>
  <si>
    <t>currency.js</t>
  </si>
  <si>
    <t>API tỷ giá</t>
  </si>
  <si>
    <t>Implemented, runtime unverified</t>
  </si>
  <si>
    <t>Cart</t>
  </si>
  <si>
    <t>Thêm, gộp, đổi số lượng, xóa</t>
  </si>
  <si>
    <t>cart.js, cart-page.js</t>
  </si>
  <si>
    <t>Checkout</t>
  </si>
  <si>
    <t>Validate, giảm giá, phí, lưu đơn</t>
  </si>
  <si>
    <t>cart-page.js, shipping.js</t>
  </si>
  <si>
    <t>Contact</t>
  </si>
  <si>
    <t>Validate, lưu tin nhắn</t>
  </si>
  <si>
    <t>contact.js</t>
  </si>
  <si>
    <t>Không gửi email</t>
  </si>
  <si>
    <t>Admin</t>
  </si>
  <si>
    <t>Đọc dữ liệu, sửa sản phẩm và trạng thái đơn</t>
  </si>
  <si>
    <t>admin.js</t>
  </si>
  <si>
    <t>Fetch JSON</t>
  </si>
  <si>
    <t>Backup</t>
  </si>
  <si>
    <t>Xuất, khôi phục, xóa, thêm dữ liệu mẫu</t>
  </si>
  <si>
    <t>localStorage + tải file</t>
  </si>
  <si>
    <t>Thông tin</t>
  </si>
  <si>
    <t>About, chính sách, điều hướng hash</t>
  </si>
  <si>
    <t>HTML, info.js</t>
  </si>
  <si>
    <t>Bug ID</t>
  </si>
  <si>
    <t>Mô tả lỗi</t>
  </si>
  <si>
    <t>Severity</t>
  </si>
  <si>
    <t>Vị trí / bằng chứng</t>
  </si>
  <si>
    <t>Hướng sửa</t>
  </si>
  <si>
    <t>Xác minh</t>
  </si>
  <si>
    <t>Trạng thái dev</t>
  </si>
  <si>
    <t>Phụ trách</t>
  </si>
  <si>
    <t>Ghi chú dev</t>
  </si>
  <si>
    <t>B01</t>
  </si>
  <si>
    <t>Thêm lặp có thể vượt tồn kho</t>
  </si>
  <si>
    <t>High</t>
  </si>
  <si>
    <t>[cart.js (line 13)]\(/D:/WEB_Final_Project/sanctuarydivinity/js/cart.js:13): found.qty += qty; giới hạn ở popup chỉ áp dụng cho lần thêm hiện tại</t>
  </si>
  <si>
    <t>Kiểm tra lượng hiện có và tổng lượng theo sản phẩm trước khi lưu</t>
  </si>
  <si>
    <t>Phát hiện qua mã nguồn</t>
  </si>
  <si>
    <t>Chưa xử lý</t>
  </si>
  <si>
    <t>B02</t>
  </si>
  <si>
    <t>Lưu đơn thất bại vẫn có thể báo thành công và xóa giỏ</t>
  </si>
  <si>
    <t>[cart-page.js (line 189)]\(/D:/WEB_Final_Project/sanctuarydivinity/js/cart-page.js:189): catch chỉ cảnh báo; phía sau vẫn saveCart([]) và mở “Order placed”</t>
  </si>
  <si>
    <t>Chỉ xóa giỏ và báo thành công sau khi lưu đơn thành công</t>
  </si>
  <si>
    <t>B03</t>
  </si>
  <si>
    <t>Inventory</t>
  </si>
  <si>
    <t>Đặt hàng không cập nhật tồn kho mô phỏng</t>
  </si>
  <si>
    <t>[cart-page.js (line 174)]\(/D:/WEB_Final_Project/sanctuarydivinity/js/cart-page.js:174): luồng submit lưu đơn/xóa giỏ, không cập nhật stock/overrides</t>
  </si>
  <si>
    <t>Quy định vòng đời tồn kho rồi cập nhật khi đặt/hủy đơn</t>
  </si>
  <si>
    <t>B04</t>
  </si>
  <si>
    <t>Danh sách tính tiền có thể khác danh sách lưu vào đơn</t>
  </si>
  <si>
    <t>[cart-page.js (line 38)]\(/D:/WEB_Final_Project/sanctuarydivinity/js/cart-page.js:38) lọc sản phẩm không còn hiển thị; [cart-page.js (line 179)]\(/D:/WEB_Final_Project/sanctuarydivinity/js/cart-page.js:179) lưu items: getCart() chưa lọc</t>
  </si>
  <si>
    <t>Dùng cùng một giỏ đã xác thực để hiển thị, tính tiền và lưu</t>
  </si>
  <si>
    <t>B05</t>
  </si>
  <si>
    <t>Product</t>
  </si>
  <si>
    <t>Chưa chặn màu available:false</t>
  </si>
  <si>
    <t>Medium</t>
  </si>
  <si>
    <t>[product-popup.js (line 51)]\(/D:/WEB_Final_Project/sanctuarydivinity/js/product-popup.js:51): tạo lựa chọn cho mọi màu; dữ liệu có 16 màu không khả dụng trên sản phẩm stock &gt; 0</t>
  </si>
  <si>
    <t>Disable màu không bán và kiểm tra lại khi thêm</t>
  </si>
  <si>
    <t>B06</t>
  </si>
  <si>
    <t>Header</t>
  </si>
  <si>
    <t>Badge giỏ ở Home không được cập nhật ngay sau Add to cart</t>
  </si>
  <si>
    <t>[shop.js (line 129)]\(/D:/WEB_Final_Project/sanctuarydivinity/js/shop.js:129) không truyền callback cập nhật; [product-popup.js (line 21)]\(/D:/WEB_Final_Project/sanctuarydivinity/js/product-popup.js:21) mặc định callback rỗng</t>
  </si>
  <si>
    <t>Phát sự kiện thay đổi giỏ hoặc gọi cập nhật badge</t>
  </si>
  <si>
    <t>B07</t>
  </si>
  <si>
    <t>Validation</t>
  </si>
  <si>
    <t>Chuỗi dấu gạch ngang có thể qua kiểm tra điện thoại</t>
  </si>
  <si>
    <t>[form-validate.js (line 8)]\(/D:/WEB_Final_Project/sanctuarydivinity/js/form-validate.js:8): regex cho phép 8–15 ký tự thuộc tập chữ số/khoảng trắng/-, không bắt buộc có chữ số</t>
  </si>
  <si>
    <t>Chuẩn hóa ký tự phân cách và kiểm tra số chữ số</t>
  </si>
  <si>
    <t>B08</t>
  </si>
  <si>
    <t>Lưu tin nhắn thất bại vẫn reset form và báo thành công</t>
  </si>
  <si>
    <t>[contact.js (line 29)]\(/D:/WEB_Final_Project/sanctuarydivinity/js/contact.js:29): catch chỉ ghi console; sau đó reset và hiện success</t>
  </si>
  <si>
    <t>Giữ nội dung và hiển thị lỗi khi lưu thất bại</t>
  </si>
  <si>
    <t>B09</t>
  </si>
  <si>
    <t>Restore chấp nhận dữ liệu sai schema, có thể ghi đè một phần trước khi lỗi</t>
  </si>
  <si>
    <t>[admin.js (line 416)]\(/D:/WEB_Final_Project/sanctuarydivinity/js/admin.js:416): chỉ kiểm tra app và typeof data; ghi từng key trước khi reload</t>
  </si>
  <si>
    <t>Validate version, kiểu từng key/bản ghi; chuẩn bị toàn bộ dữ liệu trước khi ghi</t>
  </si>
  <si>
    <t>B10</t>
  </si>
  <si>
    <t>Storage</t>
  </si>
  <si>
    <t>JSON đúng cú pháp nhưng sai kiểu có thể làm module lỗi</t>
  </si>
  <si>
    <t>[cart.js (line 5)]\(/D:/WEB_Final_Project/sanctuarydivinity/js/cart.js:5), [auth.js (line 11)]\(/D:/WEB_Final_Project/sanctuarydivinity/js/auth.js:11), [admin.js (line 28)]\(/D:/WEB_Final_Project/sanctuarydivinity/js/admin.js:28): parse không kiểm tra array/schema trước .find, .reduce, .filter</t>
  </si>
  <si>
    <t>Kiểm tra kiểu và cấu trúc sau parse</t>
  </si>
  <si>
    <t>B11</t>
  </si>
  <si>
    <t>Cart UI</t>
  </si>
  <si>
    <t>Tải dữ liệu thất bại bị hiển thị như giỏ trống</t>
  </si>
  <si>
    <t>[cart-page.js (line 324)]\(/D:/WEB_Final_Project/sanctuarydivinity/js/cart-page.js:324) hiện cart-empty; HTML ghi “Your cart is empty”</t>
  </si>
  <si>
    <t>Tách error state và empty state, có Retry</t>
  </si>
  <si>
    <t>B12</t>
  </si>
  <si>
    <t>Fetch bảng size thất bại bị giữ lại trong promise cache</t>
  </si>
  <si>
    <t>[size-finder.js (line 11)]\(/D:/WEB_Final_Project/sanctuarydivinity/js/size-finder.js:11): chartPromise không được reset khi reject</t>
  </si>
  <si>
    <t>Cho phép thử lại sau lỗi</t>
  </si>
  <si>
    <t>B13</t>
  </si>
  <si>
    <t>Admin sample</t>
  </si>
  <si>
    <t>Bấm thêm dữ liệu mẫu nhiều lần tạo đơn trùng số</t>
  </si>
  <si>
    <t>[admin.js (line 443)]\(/D:/WEB_Final_Project/sanctuarydivinity/js/admin.js:443): đơn dùng lại số SD-DEMO1…8, luôn push; chỉ user được chống trùng</t>
  </si>
  <si>
    <t>Seed mô phỏng idempotent hoặc dùng ID duy nhất</t>
  </si>
  <si>
    <t>B14</t>
  </si>
  <si>
    <t>Documentation</t>
  </si>
  <si>
    <t>README không phản ánh trạng thái hiện tại</t>
  </si>
  <si>
    <t>Low</t>
  </si>
  <si>
    <t>README ghi admin/auth/ảnh sản phẩm chưa có, trong khi mã và tài nguyên đã tồn tại</t>
  </si>
  <si>
    <t>Cập nhật hướng dẫn theo phiên bản thực tế</t>
  </si>
  <si>
    <t>ID</t>
  </si>
  <si>
    <t>Tính năng còn thiếu</t>
  </si>
  <si>
    <t>Hiện trạng/bằng chứng</t>
  </si>
  <si>
    <t>Lợi ích</t>
  </si>
  <si>
    <t>Priority</t>
  </si>
  <si>
    <t>Complexity</t>
  </si>
  <si>
    <t>M01</t>
  </si>
  <si>
    <t>Xác thực lại giỏ trước khi đặt</t>
  </si>
  <si>
    <t>B01, B04; submit dùng giỏ storage trực tiếp</t>
  </si>
  <si>
    <t>Đơn và số tiền nhất quán</t>
  </si>
  <si>
    <t>P0</t>
  </si>
  <si>
    <t>Vừa</t>
  </si>
  <si>
    <t>M02</t>
  </si>
  <si>
    <t>Phản hồi lỗi lưu và bảo toàn dữ liệu nhập</t>
  </si>
  <si>
    <t>B02, B08</t>
  </si>
  <si>
    <t>Tránh mất giỏ/nội dung và báo thành công sai</t>
  </si>
  <si>
    <t>Thấp–vừa</t>
  </si>
  <si>
    <t>M03</t>
  </si>
  <si>
    <t>Vòng đời tồn kho mô phỏng</t>
  </si>
  <si>
    <t>B03; có stock nhưng chưa gắn với đặt/hủy đơn</t>
  </si>
  <si>
    <t>Hoàn thiện nghiệp vụ bán hàng</t>
  </si>
  <si>
    <t>P1</t>
  </si>
  <si>
    <t>M04</t>
  </si>
  <si>
    <t>Schema validation và khôi phục an toàn</t>
  </si>
  <si>
    <t>Tránh làm hỏng dữ liệu browser</t>
  </si>
  <si>
    <t>M05</t>
  </si>
  <si>
    <t>Xử lý khả dụng theo màu</t>
  </si>
  <si>
    <t>Không nhận lựa chọn được đánh dấu không bán</t>
  </si>
  <si>
    <t>Thấp</t>
  </si>
  <si>
    <t>M06</t>
  </si>
  <si>
    <t>UI</t>
  </si>
  <si>
    <t>Loading/error/retry rõ ràng</t>
  </si>
  <si>
    <t>B11, B12; chưa có luồng phục hồi đầy đủ</t>
  </si>
  <si>
    <t>Người dùng hiểu và phục hồi sau lỗi</t>
  </si>
  <si>
    <t>M07</t>
  </si>
  <si>
    <t>UI đặt ngày launch</t>
  </si>
  <si>
    <t>Có setLaunchDate() nhưng không có mục quản trị tương ứng</t>
  </si>
  <si>
    <t>Hoàn thành chức năng được README dự kiến</t>
  </si>
  <si>
    <t>P2</t>
  </si>
  <si>
    <t>M08</t>
  </si>
  <si>
    <t>Lọc size/màu và sắp xếp giá</t>
  </si>
  <si>
    <t>Có trong mục tính năng dự kiến ở claude.md; hiện chủ yếu phân nhóm/scroll</t>
  </si>
  <si>
    <t>Tìm sản phẩm thuận tiện</t>
  </si>
  <si>
    <t>P2, xác nhận phạm vi</t>
  </si>
  <si>
    <t>M09</t>
  </si>
  <si>
    <t>Bảng size để xem trực tiếp</t>
  </si>
  <si>
    <t>Có gợi ý size; chưa thấy bảng size sản phẩm như định hướng ban đầu</t>
  </si>
  <si>
    <t>Người dùng tự đối chiếu</t>
  </si>
  <si>
    <t>M10</t>
  </si>
  <si>
    <t>Delivery</t>
  </si>
  <si>
    <t>Tài liệu bàn giao đồ án</t>
  </si>
  <si>
    <t>docs/ hiện chỉ có .gitkeep</t>
  </si>
  <si>
    <t>Đáp ứng sản phẩm nộp và rubric</t>
  </si>
  <si>
    <t>TC ID</t>
  </si>
  <si>
    <t>Kịch bản</t>
  </si>
  <si>
    <t>Loại</t>
  </si>
  <si>
    <t>Ưu tiên</t>
  </si>
  <si>
    <t>Điều kiện trước</t>
  </si>
  <si>
    <t>Dữ liệu test</t>
  </si>
  <si>
    <t>Bước thực hiện</t>
  </si>
  <si>
    <t>Kết quả mong đợi</t>
  </si>
  <si>
    <t>Kết quả thực tế</t>
  </si>
  <si>
    <t>Trạng thái chạy</t>
  </si>
  <si>
    <t>Kết quả</t>
  </si>
  <si>
    <t>Bằng chứng / nguồn</t>
  </si>
  <si>
    <t>Bug liên quan</t>
  </si>
  <si>
    <t>Evidence thực thi mới</t>
  </si>
  <si>
    <t>Người test</t>
  </si>
  <si>
    <t>DATA-001</t>
  </si>
  <si>
    <t>Data</t>
  </si>
  <si>
    <t>Kiểm tra cú pháp 24 JS</t>
  </si>
  <si>
    <t>V</t>
  </si>
  <si>
    <t>Node có sẵn; 24 file js/*.js</t>
  </si>
  <si>
    <t>Theo cột điều kiện/dữ liệu</t>
  </si>
  <si>
    <t>Chạy node --check từng file</t>
  </si>
  <si>
    <t>Không có syntax error</t>
  </si>
  <si>
    <t>24 SYNTAX OK</t>
  </si>
  <si>
    <t>Executed</t>
  </si>
  <si>
    <t>Pass</t>
  </si>
  <si>
    <t>Output lệnh kiểm tra, Node v26.12.0</t>
  </si>
  <si>
    <t>DATA-002</t>
  </si>
  <si>
    <t>Parse 7 JSON</t>
  </si>
  <si>
    <t>7 JSON trong data/</t>
  </si>
  <si>
    <t>Đọc UTF-8, parse từng file</t>
  </si>
  <si>
    <t>Tất cả parse được</t>
  </si>
  <si>
    <t>7 JSON OK</t>
  </si>
  <si>
    <t>Output ConvertFrom-Json</t>
  </si>
  <si>
    <t>DATA-003</t>
  </si>
  <si>
    <t>ID và trường cơ bản sản phẩm</t>
  </si>
  <si>
    <t>JSON sản phẩm hiện tại</t>
  </si>
  <si>
    <t>Đếm; tìm ID trùng và trường cơ bản sai</t>
  </si>
  <si>
    <t>ID duy nhất; giá dương; stock nguyên không âm; có màu/size</t>
  </si>
  <si>
    <t>32 sản phẩm; 0 duplicate; 0 lỗi theo các điều kiện đã kiểm tra</t>
  </si>
  <si>
    <t>Output PRODUCT COUNT, INVALID PRODUCT BASICS</t>
  </si>
  <si>
    <t>DATA-004</t>
  </si>
  <si>
    <t>Trường cơ bản review</t>
  </si>
  <si>
    <t>JSON reviews hiện tại</t>
  </si>
  <si>
    <t>Kiểm tra rating, entries, images</t>
  </si>
  <si>
    <t>Rating 1–5; entries/images không rỗng</t>
  </si>
  <si>
    <t>157 bản ghi; 0 lỗi theo các điều kiện đã kiểm tra</t>
  </si>
  <si>
    <t>Output REVIEW COUNT, INVALID REVIEW BASICS</t>
  </si>
  <si>
    <t>DATA-005</t>
  </si>
  <si>
    <t>Tồn tại ảnh sản phẩm</t>
  </si>
  <si>
    <t>I</t>
  </si>
  <si>
    <t>Đường dẫn trong mọi màu sản phẩm</t>
  </si>
  <si>
    <t>Kiểm tra tồn tại từng file</t>
  </si>
  <si>
    <t>Không thiếu file</t>
  </si>
  <si>
    <t>477 tham chiếu; 0 thiếu</t>
  </si>
  <si>
    <t>Output PRODUCT IMAGE REFERENCES, MISSING PRODUCT IMAGES</t>
  </si>
  <si>
    <t>DATA-006</t>
  </si>
  <si>
    <t>Tồn tại ảnh review</t>
  </si>
  <si>
    <t>Image base của reviews</t>
  </si>
  <si>
    <t>Tìm .webp hoặc .jpg</t>
  </si>
  <si>
    <t>Mỗi base có ít nhất một file</t>
  </si>
  <si>
    <t>0 base thiếu cả hai</t>
  </si>
  <si>
    <t>Output MISSING REVIEW IMAGE BASES</t>
  </si>
  <si>
    <t>DATA-007</t>
  </si>
  <si>
    <t>Tồn tại tài nguyên HTML</t>
  </si>
  <si>
    <t>index.html và 6 trang con</t>
  </si>
  <si>
    <t>Kiểm tra tham chiếu file src/href/poster</t>
  </si>
  <si>
    <t>Đích local tồn tại</t>
  </si>
  <si>
    <t>0 tham chiếu thiếu</t>
  </si>
  <si>
    <t>Output MISSING STATIC HTML REFERENCES: 0</t>
  </si>
  <si>
    <t>DATA-008</t>
  </si>
  <si>
    <t>Tồn tại đích import JS</t>
  </si>
  <si>
    <t>Imports tương đối trong JS</t>
  </si>
  <si>
    <t>Đối chiếu đường dẫn import với filesystem</t>
  </si>
  <si>
    <t>Mọi đích tồn tại</t>
  </si>
  <si>
    <t>Không phát hiện đích thiếu</t>
  </si>
  <si>
    <t>Output kiểm tra module imports</t>
  </si>
  <si>
    <t>GATE-001</t>
  </si>
  <si>
    <t>Mã customer hợp lệ</t>
  </si>
  <si>
    <t>P</t>
  </si>
  <si>
    <t>S; chưa có role</t>
  </si>
  <si>
    <t>SANCTUARY-DEMO</t>
  </si>
  <si>
    <t>Mở cổng → nhập mã → Enter</t>
  </si>
  <si>
    <t>Role customer; chuyển Home</t>
  </si>
  <si>
    <t>Not Available</t>
  </si>
  <si>
    <t>Not Executed</t>
  </si>
  <si>
    <t>Not Run</t>
  </si>
  <si>
    <t>gate.js:64; Không</t>
  </si>
  <si>
    <t>—</t>
  </si>
  <si>
    <t>GATE-002</t>
  </si>
  <si>
    <t>Mã admin hợp lệ</t>
  </si>
  <si>
    <t>Mã admin demo hiện trong config</t>
  </si>
  <si>
    <t>Nhập mã → Enter</t>
  </si>
  <si>
    <t>Role admin; chuyển Admin</t>
  </si>
  <si>
    <t>gate.js:59; Không</t>
  </si>
  <si>
    <t>GATE-003</t>
  </si>
  <si>
    <t>Mã sai</t>
  </si>
  <si>
    <t>N</t>
  </si>
  <si>
    <t>INVALID-CODE</t>
  </si>
  <si>
    <t>Nhập mã sai → Enter</t>
  </si>
  <si>
    <t>Hiện “Incorrect password”; không cấp role</t>
  </si>
  <si>
    <t>gate.js; Không</t>
  </si>
  <si>
    <t>GATE-004</t>
  </si>
  <si>
    <t>Vào Home chưa qua cổng</t>
  </si>
  <si>
    <t>A</t>
  </si>
  <si>
    <t>S; session chưa có role</t>
  </si>
  <si>
    <t>/pages/home.html</t>
  </si>
  <si>
    <t>Truy cập URL trực tiếp</t>
  </si>
  <si>
    <t>Chuyển về cổng</t>
  </si>
  <si>
    <t>guard.js:9, home.html:15; Không</t>
  </si>
  <si>
    <t>GATE-005</t>
  </si>
  <si>
    <t>Sau ngày launch</t>
  </si>
  <si>
    <t>B</t>
  </si>
  <si>
    <t>S; thời gian kiểm thử sau launch</t>
  </si>
  <si>
    <t>Mốc launch quá khứ</t>
  </si>
  <si>
    <t>Mở cổng; quan sát countdown</t>
  </si>
  <si>
    <t>Các đơn vị bằng 0, không âm</t>
  </si>
  <si>
    <t>countdown.js; Không</t>
  </si>
  <si>
    <t>AUTH-001</t>
  </si>
  <si>
    <t>Auth</t>
  </si>
  <si>
    <t>Đăng ký hợp lệ, mật khẩu 8 ký tự</t>
  </si>
  <si>
    <t>S; email chưa tồn tại</t>
  </si>
  <si>
    <t>QA User; qa@example.com; Test1234</t>
  </si>
  <si>
    <t>Create account → điền đúng → submit</t>
  </si>
  <si>
    <t>Tạo một user; không lưu password thô; đăng nhập tự động</t>
  </si>
  <si>
    <t>auth-ui.js:113, auth.js:38; Không</t>
  </si>
  <si>
    <t>AUTH-002</t>
  </si>
  <si>
    <t>Email trùng sau chuẩn hóa</t>
  </si>
  <si>
    <t>S; đã có qa@example.com</t>
  </si>
  <si>
    <t>QA@EXAMPLE.COM</t>
  </si>
  <si>
    <t>Đăng ký với email trên</t>
  </si>
  <si>
    <t>Báo trùng; không tạo user thứ hai</t>
  </si>
  <si>
    <t>auth.js:34–45; Không</t>
  </si>
  <si>
    <t>AUTH-003</t>
  </si>
  <si>
    <t>Mật khẩu 7 ký tự</t>
  </si>
  <si>
    <t>S; mở form đăng ký</t>
  </si>
  <si>
    <t>Password Test123</t>
  </si>
  <si>
    <t>Điền các trường còn lại hợp lệ → submit</t>
  </si>
  <si>
    <t>Báo tối thiểu 8 ký tự</t>
  </si>
  <si>
    <t>auth-ui.js:116; Không</t>
  </si>
  <si>
    <t>AUTH-004</t>
  </si>
  <si>
    <t>Xác nhận mật khẩu khác</t>
  </si>
  <si>
    <t>Password Test1234; confirm Test1235</t>
  </si>
  <si>
    <t>Submit</t>
  </si>
  <si>
    <t>Báo không khớp; không tạo tài khoản</t>
  </si>
  <si>
    <t>auth-ui.js:117; Không</t>
  </si>
  <si>
    <t>AUTH-005</t>
  </si>
  <si>
    <t>Đăng nhập đúng</t>
  </si>
  <si>
    <t>S; có user hợp lệ</t>
  </si>
  <si>
    <t>Email/password đã đăng ký</t>
  </si>
  <si>
    <t>Sign in → submit</t>
  </si>
  <si>
    <t>Đăng nhập đúng user, cập nhật icon</t>
  </si>
  <si>
    <t>auth.js:73, auth-ui.js; Không</t>
  </si>
  <si>
    <t>AUTH-006</t>
  </si>
  <si>
    <t>Đăng nhập sai mật khẩu</t>
  </si>
  <si>
    <t>S; có user</t>
  </si>
  <si>
    <t>Password sai</t>
  </si>
  <si>
    <t>Báo chung “Incorrect email or password”; không cấp phiên</t>
  </si>
  <si>
    <t>auth.js:76; Không</t>
  </si>
  <si>
    <t>AUTH-007</t>
  </si>
  <si>
    <t>Đăng xuất tài khoản</t>
  </si>
  <si>
    <t>S; đang đăng nhập</t>
  </si>
  <si>
    <t>Không cần thêm</t>
  </si>
  <si>
    <t>Account → Sign out</t>
  </si>
  <si>
    <t>Xóa session tài khoản; chuyển giao diện guest</t>
  </si>
  <si>
    <t>account-page.js, auth.js:81; Không</t>
  </si>
  <si>
    <t>ACC-001</t>
  </si>
  <si>
    <t>Lưu hồ sơ hợp lệ</t>
  </si>
  <si>
    <t>S; đăng nhập</t>
  </si>
  <si>
    <t>Tên và địa chỉ hợp lệ</t>
  </si>
  <si>
    <t>Sửa hồ sơ → Save → tải lại</t>
  </si>
  <si>
    <t>Dữ liệu được lưu và hiển thị lại đúng</t>
  </si>
  <si>
    <t>account-page.js:86, auth.js:94; Không</t>
  </si>
  <si>
    <t>ACC-002</t>
  </si>
  <si>
    <t>Đổi mật khẩu đúng mật khẩu cũ</t>
  </si>
  <si>
    <t>Password cũ đúng; mới Newpass123</t>
  </si>
  <si>
    <t>Đổi password → đăng xuất → đăng nhập bằng password mới</t>
  </si>
  <si>
    <t>Password mới có hiệu lực</t>
  </si>
  <si>
    <t>auth.js:107; Không</t>
  </si>
  <si>
    <t>ACC-003</t>
  </si>
  <si>
    <t>Đổi mật khẩu sai mật khẩu cũ</t>
  </si>
  <si>
    <t>Password cũ sai</t>
  </si>
  <si>
    <t>Submit đổi password</t>
  </si>
  <si>
    <t>Báo sai password cũ; không thay đổi thông tin xác thực</t>
  </si>
  <si>
    <t>auth.js:112; Không</t>
  </si>
  <si>
    <t>ACC-004</t>
  </si>
  <si>
    <t>Lịch sử chỉ hiện đơn của tài khoản</t>
  </si>
  <si>
    <t>S; có đơn của hai tài khoản</t>
  </si>
  <si>
    <t>User A, User B</t>
  </si>
  <si>
    <t>Đăng nhập A → xem lịch sử</t>
  </si>
  <si>
    <t>Chỉ hiện đơn userEmail của A</t>
  </si>
  <si>
    <t>account-page.js:46; giới hạn quyền client đã nêu</t>
  </si>
  <si>
    <t>SHOP-001</t>
  </si>
  <si>
    <t>Phân nhóm sản phẩm</t>
  </si>
  <si>
    <t>S; tải được products</t>
  </si>
  <si>
    <t>32 sản phẩm hiện tại</t>
  </si>
  <si>
    <t>Mở Shop → đối chiếu từng khu/nhóm</t>
  </si>
  <si>
    <t>Sản phẩm xuất hiện đúng giới tính, loại và nhóm</t>
  </si>
  <si>
    <t>shop.js:24; Không</t>
  </si>
  <si>
    <t>SHOP-002</t>
  </si>
  <si>
    <t>Collections cuộn đúng nhóm</t>
  </si>
  <si>
    <t>U</t>
  </si>
  <si>
    <t>S; Shop đã tải</t>
  </si>
  <si>
    <t>Nhóm Compression</t>
  </si>
  <si>
    <t>Collections → chọn nhóm</t>
  </si>
  <si>
    <t>Cuộn đúng anchor; menu phản hồi đúng</t>
  </si>
  <si>
    <t>shop.js, home.html:125; Không</t>
  </si>
  <si>
    <t>SHOP-003</t>
  </si>
  <si>
    <t>API lỗi, dùng fallback</t>
  </si>
  <si>
    <t>S; cache tỷ giá không dùng được; API thất bại</t>
  </si>
  <si>
    <t>Chọn VND</t>
  </si>
  <si>
    <t>Mở trang → đổi tiền</t>
  </si>
  <si>
    <t>Dùng fallback, không vỡ định dạng giá</t>
  </si>
  <si>
    <t>currency.js:34; runtime chưa xác minh</t>
  </si>
  <si>
    <t>SHOP-004</t>
  </si>
  <si>
    <t>Chọn màu không khả dụng</t>
  </si>
  <si>
    <t>S; mở p05</t>
  </si>
  <si>
    <t>Màu Heavenly Pink, available:false</t>
  </si>
  <si>
    <t>Chọn màu → chọn size → Add</t>
  </si>
  <si>
    <t>Không cho mua màu được đánh dấu không khả dụng</t>
  </si>
  <si>
    <t>product-popup.js:51; B05</t>
  </si>
  <si>
    <t>SHOP-005</t>
  </si>
  <si>
    <t>Thêm khi chưa chọn size</t>
  </si>
  <si>
    <t>S; sản phẩm còn stock</t>
  </si>
  <si>
    <t>Chưa chọn size</t>
  </si>
  <si>
    <t>Mở popup → Add</t>
  </si>
  <si>
    <t>Báo “Please select a size”; giỏ không đổi</t>
  </si>
  <si>
    <t>product-popup.js:119; Không</t>
  </si>
  <si>
    <t>SHOP-006</t>
  </si>
  <si>
    <t>Sản phẩm stock bằng 0</t>
  </si>
  <si>
    <t>S; sản phẩm có override stock=0</t>
  </si>
  <si>
    <t>Stock 0</t>
  </si>
  <si>
    <t>Mở popup</t>
  </si>
  <si>
    <t>Hiện Sold out; không có hành động thêm/mua</t>
  </si>
  <si>
    <t>product-popup.js:137; Không</t>
  </si>
  <si>
    <t>SIZE-001</t>
  </si>
  <si>
    <t>Size</t>
  </si>
  <si>
    <t>Số đo cm/kg hợp lệ</t>
  </si>
  <si>
    <t>S; bảng size tải được</t>
  </si>
  <si>
    <t>180 cm, 75 kg</t>
  </si>
  <si>
    <t>Find your size → Calculate</t>
  </si>
  <si>
    <t>Trả size thuộc danh sách sản phẩm; Use size chọn đúng size đó</t>
  </si>
  <si>
    <t>product-popup.js, size-finder.js; Không</t>
  </si>
  <si>
    <t>SIZE-002</t>
  </si>
  <si>
    <t>Số đo feet/inches và lbs</t>
  </si>
  <si>
    <t>5'11", 165 lbs</t>
  </si>
  <si>
    <t>Calculate</t>
  </si>
  <si>
    <t>Parse được, trả gợi ý hợp lệ</t>
  </si>
  <si>
    <t>size-finder.js:21; Không</t>
  </si>
  <si>
    <t>SIZE-003</t>
  </si>
  <si>
    <t>Chiều cao dưới 120 cm</t>
  </si>
  <si>
    <t>S; mở finder</t>
  </si>
  <si>
    <t>119 cm, 75 kg</t>
  </si>
  <si>
    <t>Báo lỗi vì dưới giới hạn 120 cm; không gợi ý</t>
  </si>
  <si>
    <t>product-popup.js, điều kiện 120–230; Không</t>
  </si>
  <si>
    <t>SIZE-004</t>
  </si>
  <si>
    <t>Fetch lỗi rồi thử lại</t>
  </si>
  <si>
    <t>S; lần fetch đầu lỗi, lần sau có mạng</t>
  </si>
  <si>
    <t>Số đo hợp lệ</t>
  </si>
  <si>
    <t>Calculate khi lỗi → phục hồi mạng → Calculate lại</t>
  </si>
  <si>
    <t>Có thể tải lại và trả kết quả</t>
  </si>
  <si>
    <t>size-finder.js:11; B12</t>
  </si>
  <si>
    <t>CART-001</t>
  </si>
  <si>
    <t>Gộp cùng sản phẩm/màu/size</t>
  </si>
  <si>
    <t>S; giỏ có một biến thể qty=1</t>
  </si>
  <si>
    <t>Cùng ID/màu/size; thêm 1</t>
  </si>
  <si>
    <t>Add lại biến thể đó</t>
  </si>
  <si>
    <t>Một dòng qty=2</t>
  </si>
  <si>
    <t>cart.js:13; Không</t>
  </si>
  <si>
    <t>CART-002</t>
  </si>
  <si>
    <t>Thêm lặp vượt stock</t>
  </si>
  <si>
    <t>S; p01 stock=65; cùng biến thể qty=65</t>
  </si>
  <si>
    <t>Thêm 1</t>
  </si>
  <si>
    <t>Mở lại popup → chọn size → Add</t>
  </si>
  <si>
    <t>Từ chối hoặc giữ tổng không vượt 65</t>
  </si>
  <si>
    <t>cart.js:16; B01</t>
  </si>
  <si>
    <t>CART-003</t>
  </si>
  <si>
    <t>Giảm số lượng tại 1</t>
  </si>
  <si>
    <t>S; một dòng qty=1</t>
  </si>
  <si>
    <t>Qty 1</t>
  </si>
  <si>
    <t>Quan sát/bấm nút giảm</t>
  </si>
  <si>
    <t>Không giảm xuống 0 hoặc âm</t>
  </si>
  <si>
    <t>cart-page.js:62; Không</t>
  </si>
  <si>
    <t>CART-004</t>
  </si>
  <si>
    <t>Xóa món cuối</t>
  </si>
  <si>
    <t>S; giỏ có một dòng</t>
  </si>
  <si>
    <t>Dòng cuối</t>
  </si>
  <si>
    <t>Remove</t>
  </si>
  <si>
    <t>Hiện empty state; ẩn checkout; badge bằng 0</t>
  </si>
  <si>
    <t>cart-page.js:129; Không</t>
  </si>
  <si>
    <t>CART-005</t>
  </si>
  <si>
    <t>Badge Home cập nhật sau thêm</t>
  </si>
  <si>
    <t>S; Home đang mở</t>
  </si>
  <si>
    <t>Thêm 1 món</t>
  </si>
  <si>
    <t>Add trong popup → quan sát header</t>
  </si>
  <si>
    <t>Badge tăng ngay, không cần reload</t>
  </si>
  <si>
    <t>shop.js:129, header.js:6; B06</t>
  </si>
  <si>
    <t>CART-006</t>
  </si>
  <si>
    <t>localStorage đúng JSON nhưng sai kiểu</t>
  </si>
  <si>
    <t>S; dữ liệu chỉ trong môi trường thử</t>
  </si>
  <si>
    <t>sanctuary_cart là {}</t>
  </si>
  <si>
    <t>Mở Home/Cart</t>
  </si>
  <si>
    <t>Không crash; có phục hồi/thông báo dữ liệu lỗi</t>
  </si>
  <si>
    <t>cart.js:5, header.js:7; B10</t>
  </si>
  <si>
    <t>CHK-001</t>
  </si>
  <si>
    <t>Discount</t>
  </si>
  <si>
    <t>Áp mã hợp lệ</t>
  </si>
  <si>
    <t>S; giỏ hợp lệ</t>
  </si>
  <si>
    <t>Apply code</t>
  </si>
  <si>
    <t>Giảm 10% tiền hàng; tính lại duty/tax theo giá đã giảm</t>
  </si>
  <si>
    <t>cart-page.js:257; Không</t>
  </si>
  <si>
    <t>CHK-002</t>
  </si>
  <si>
    <t>Áp mã không hợp lệ</t>
  </si>
  <si>
    <t>S; chưa áp mã</t>
  </si>
  <si>
    <t>Apply</t>
  </si>
  <si>
    <t>Báo mã không hợp lệ; tổng không đổi</t>
  </si>
  <si>
    <t>cart-page.js; Không</t>
  </si>
  <si>
    <t>CHK-003</t>
  </si>
  <si>
    <t>Gỡ mã đã áp</t>
  </si>
  <si>
    <t>S; đã áp mã</t>
  </si>
  <si>
    <t>Mã đang áp</t>
  </si>
  <si>
    <t>Bỏ giảm giá; cho sửa input; tính lại tổng</t>
  </si>
  <si>
    <t>CHK-004</t>
  </si>
  <si>
    <t>Shipping</t>
  </si>
  <si>
    <t>Tính phí theo dữ liệu Việt Nam</t>
  </si>
  <si>
    <t>S; một p01 qty=1, không giảm giá</t>
  </si>
  <si>
    <t>Giá $60; country Vietnam</t>
  </si>
  <si>
    <t>Mở Cart → chọn Vietnam</t>
  </si>
  <si>
    <t>Weight .55 kg; billed 1 kg; ship $4.50; tax $5.16; total $69.66 trước đổi tiền</t>
  </si>
  <si>
    <t>shipping.js:13, shipping.json; chưa chạy hàm</t>
  </si>
  <si>
    <t>CHK-005</t>
  </si>
  <si>
    <t>Đặt đơn mô phỏng hợp lệ</t>
  </si>
  <si>
    <t>S; storage ghi được; giỏ hợp lệ</t>
  </si>
  <si>
    <t>Form hợp lệ; dùng dữ liệu thanh toán demo</t>
  </si>
  <si>
    <t>Submit Place order</t>
  </si>
  <si>
    <t>Lưu một đơn đúng món/tổng/user; sau đó xóa giỏ và hiện số đơn</t>
  </si>
  <si>
    <t>cart-page.js:174; Không</t>
  </si>
  <si>
    <t>CHK-006</t>
  </si>
  <si>
    <t>Điện thoại chỉ gồm dấu -</t>
  </si>
  <si>
    <t>S; các trường khác hợp lệ</t>
  </si>
  <si>
    <t>Phone --------</t>
  </si>
  <si>
    <t>Báo điện thoại không hợp lệ; không tạo đơn</t>
  </si>
  <si>
    <t>form-validate.js:8; B07</t>
  </si>
  <si>
    <t>CHK-007</t>
  </si>
  <si>
    <t>Số thẻ sai Luhn</t>
  </si>
  <si>
    <t>S; chọn Card</t>
  </si>
  <si>
    <t>4242 4242 4242 4241</t>
  </si>
  <si>
    <t>Submit với thông tin khác hợp lệ</t>
  </si>
  <si>
    <t>Báo số thẻ không hợp lệ</t>
  </si>
  <si>
    <t>form-validate.js:11; Không</t>
  </si>
  <si>
    <t>CHK-008</t>
  </si>
  <si>
    <t>Thẻ hết hạn</t>
  </si>
  <si>
    <t>Expiry 01/20</t>
  </si>
  <si>
    <t>Báo thẻ hết hạn</t>
  </si>
  <si>
    <t>form-validate.js, expiry; Không</t>
  </si>
  <si>
    <t>CHK-009</t>
  </si>
  <si>
    <t>Lưu đơn thất bại</t>
  </si>
  <si>
    <t>S; mô phỏng ghi orders thất bại</t>
  </si>
  <si>
    <t>Form và giỏ hợp lệ</t>
  </si>
  <si>
    <t>Submit khi lưu đơn lỗi</t>
  </si>
  <si>
    <t>Báo lỗi; giữ giỏ; không hiện Order placed</t>
  </si>
  <si>
    <t>cart-page.js:189–209; B02</t>
  </si>
  <si>
    <t>CHK-010</t>
  </si>
  <si>
    <t>Giỏ chứa sản phẩm bị ẩn</t>
  </si>
  <si>
    <t>S; giỏ gồm p01 đang bán và một sản phẩm bị ẩn</t>
  </si>
  <si>
    <t>Hai dòng đã có trước khi ẩn</t>
  </si>
  <si>
    <t>Mở Cart → checkout</t>
  </si>
  <si>
    <t>Món bị loại không âm thầm xuất hiện trong order; tổng khớp items</t>
  </si>
  <si>
    <t>cart-page.js:38, 179; B04</t>
  </si>
  <si>
    <t>CHK-011</t>
  </si>
  <si>
    <t>Tồn kho sau đặt đơn</t>
  </si>
  <si>
    <t>S; p01 stock=65</t>
  </si>
  <si>
    <t>Đặt qty=1</t>
  </si>
  <si>
    <t>Checkout thành công → tải lại sản phẩm</t>
  </si>
  <si>
    <t>Tồn kho mô phỏng giảm theo quy tắc đã thống nhất</t>
  </si>
  <si>
    <t>cart-page.js:174, products.js; B03</t>
  </si>
  <si>
    <t>CT-001</t>
  </si>
  <si>
    <t>Gửi form hợp lệ</t>
  </si>
  <si>
    <t>S; storage ghi được</t>
  </si>
  <si>
    <t>Tên ≥2; email đúng; message ≥10 ký tự</t>
  </si>
  <si>
    <t>Điền form → submit</t>
  </si>
  <si>
    <t>Lưu một tin; admin cùng browser đọc được</t>
  </si>
  <si>
    <t>contact.js:18; Không</t>
  </si>
  <si>
    <t>CT-002</t>
  </si>
  <si>
    <t>Nội dung 9 ký tự</t>
  </si>
  <si>
    <t>S; các trường khác đúng</t>
  </si>
  <si>
    <t>Message 123456789</t>
  </si>
  <si>
    <t>Báo tối thiểu 10 ký tự; không lưu</t>
  </si>
  <si>
    <t>contact.js:13; Không</t>
  </si>
  <si>
    <t>CT-003</t>
  </si>
  <si>
    <t>Lưu tin nhắn thất bại</t>
  </si>
  <si>
    <t>S; mô phỏng ghi messages thất bại</t>
  </si>
  <si>
    <t>Form hợp lệ</t>
  </si>
  <si>
    <t>Hiện lỗi; giữ nội dung; không báo thành công</t>
  </si>
  <si>
    <t>contact.js:29–35; B08</t>
  </si>
  <si>
    <t>ADM-001</t>
  </si>
  <si>
    <t>Customer truy cập admin</t>
  </si>
  <si>
    <t>S; role customer</t>
  </si>
  <si>
    <t>URL Admin</t>
  </si>
  <si>
    <t>Truy cập trực tiếp</t>
  </si>
  <si>
    <t>Chuyển về cổng; không được thao tác admin</t>
  </si>
  <si>
    <t>admin.html:15, guard.js:9; giới hạn client</t>
  </si>
  <si>
    <t>ADM-002</t>
  </si>
  <si>
    <t>Dashboard loại đơn Cancelled</t>
  </si>
  <si>
    <t>S; có đơn Processing và Cancelled</t>
  </si>
  <si>
    <t>Hai đơn có total xác định</t>
  </si>
  <si>
    <t>Mở Overview</t>
  </si>
  <si>
    <t>Revenue không tính đơn Cancelled</t>
  </si>
  <si>
    <t>admin.js:77, 112; Không</t>
  </si>
  <si>
    <t>ADM-003</t>
  </si>
  <si>
    <t>Đổi trạng thái đơn</t>
  </si>
  <si>
    <t>S; một đơn Processing</t>
  </si>
  <si>
    <t>Status Shipped</t>
  </si>
  <si>
    <t>Orders → đổi status → xem Account sau tải lại</t>
  </si>
  <si>
    <t>Status được lưu và hiển thị nhất quán</t>
  </si>
  <si>
    <t>admin.js:193, account-page.js; Không</t>
  </si>
  <si>
    <t>ADM-004</t>
  </si>
  <si>
    <t>Giá sản phẩm bằng 0</t>
  </si>
  <si>
    <t>S; sản phẩm có giá hợp lệ</t>
  </si>
  <si>
    <t>Price 0</t>
  </si>
  <si>
    <t>Đổi price → change</t>
  </si>
  <si>
    <t>Từ chối, giữ giá cũ, thông báo</t>
  </si>
  <si>
    <t>admin.js:278; Không</t>
  </si>
  <si>
    <t>ADM-005</t>
  </si>
  <si>
    <t>Stock sản phẩm bằng 0</t>
  </si>
  <si>
    <t>Đổi stock → mở storefront sau tải lại</t>
  </si>
  <si>
    <t>Lưu 0; sản phẩm hết hàng</t>
  </si>
  <si>
    <t>admin.js:292, products.js:21; Không</t>
  </si>
  <si>
    <t>ADM-006</t>
  </si>
  <si>
    <t>Ẩn sản phẩm khỏi cửa hàng</t>
  </si>
  <si>
    <t>S; sản phẩm đang hiển thị</t>
  </si>
  <si>
    <t>Bỏ On sale</t>
  </si>
  <si>
    <t>Bỏ chọn → mở lại Home</t>
  </si>
  <si>
    <t>Sản phẩm bị ẩn khỏi danh mục</t>
  </si>
  <si>
    <t>admin.js:305, products.js:24; Không</t>
  </si>
  <si>
    <t>ADM-007</t>
  </si>
  <si>
    <t>Đánh dấu tin nhắn đã đọc</t>
  </si>
  <si>
    <t>S; một tin chưa đọc</t>
  </si>
  <si>
    <t>Tin nhắn hiện có trong fixture</t>
  </si>
  <si>
    <t>Mark read</t>
  </si>
  <si>
    <t>Lưu trạng thái; badge unread giảm</t>
  </si>
  <si>
    <t>admin.js, renderMessages; Không</t>
  </si>
  <si>
    <t>ADM-008</t>
  </si>
  <si>
    <t>Xóa tin nhắn</t>
  </si>
  <si>
    <t>S; có tin nhắn</t>
  </si>
  <si>
    <t>Một tin được chọn</t>
  </si>
  <si>
    <t>Delete → xác nhận</t>
  </si>
  <si>
    <t>Chỉ xóa đúng tin; cập nhật số lượng</t>
  </si>
  <si>
    <t>BKP-001</t>
  </si>
  <si>
    <t>Export dữ liệu</t>
  </si>
  <si>
    <t>S; được phép tạo file ở lần chạy sau</t>
  </si>
  <si>
    <t>Dữ liệu demo có sẵn</t>
  </si>
  <si>
    <t>Download backup</t>
  </si>
  <si>
    <t>File có app/version/date và orders/users/messages/overrides</t>
  </si>
  <si>
    <t>admin.js:392; chưa chạy vì cấm tạo file</t>
  </si>
  <si>
    <t>BKP-002</t>
  </si>
  <si>
    <t>Restore đúng định dạng</t>
  </si>
  <si>
    <t>S; fixture backup hợp lệ</t>
  </si>
  <si>
    <t>Backup version 1</t>
  </si>
  <si>
    <t>Import → xác nhận</t>
  </si>
  <si>
    <t>Khôi phục đúng toàn bộ dữ liệu, UI đọc được</t>
  </si>
  <si>
    <t>admin.js:408; Không</t>
  </si>
  <si>
    <t>BKP-003</t>
  </si>
  <si>
    <t>Restore sai schema</t>
  </si>
  <si>
    <t>S; fixture có key sai kiểu</t>
  </si>
  <si>
    <t>app:"sanctuary", orders là object</t>
  </si>
  <si>
    <t>Từ chối trước khi thay đổi key nào</t>
  </si>
  <si>
    <t>admin.js:416–423; B09, B10</t>
  </si>
  <si>
    <t>BKP-004</t>
  </si>
  <si>
    <t>Thêm sample hai lần</t>
  </si>
  <si>
    <t>S; kho demo sạch</t>
  </si>
  <si>
    <t>Không cần nhập thêm</t>
  </si>
  <si>
    <t>Bấm Add sample data hai lần</t>
  </si>
  <si>
    <t>Không tạo số đơn trùng hoặc có cơ chế thông báo rõ</t>
  </si>
  <si>
    <t>admin.js:443–479; B13</t>
  </si>
  <si>
    <t>BKP-005</t>
  </si>
  <si>
    <t>Clear store data</t>
  </si>
  <si>
    <t>S; dữ liệu demo, đã cho phép xóa</t>
  </si>
  <si>
    <t>Orders/users/messages/overrides</t>
  </si>
  <si>
    <t>Clear data → xác nhận</t>
  </si>
  <si>
    <t>Xóa đúng phạm vi UI mô tả, xóa session user</t>
  </si>
  <si>
    <t>admin.js:434; Không</t>
  </si>
  <si>
    <t>UI-001</t>
  </si>
  <si>
    <t>Info URL hash và Back</t>
  </si>
  <si>
    <t>S; Info mở được</t>
  </si>
  <si>
    <t>contact.html#shipping</t>
  </si>
  <si>
    <t>Mở link → đổi tab → Back</t>
  </si>
  <si>
    <t>Panel và aria-current khớp URL/lịch sử</t>
  </si>
  <si>
    <t>info.js; Không</t>
  </si>
  <si>
    <t>UI-002</t>
  </si>
  <si>
    <t>Layout tại các viewport</t>
  </si>
  <si>
    <t>S; browser kiểm thử</t>
  </si>
  <si>
    <t>375, 768, 1024, 1440 px</t>
  </si>
  <si>
    <t>Kiểm tra Home, popup, Cart, Account, Admin ở từng viewport</t>
  </si>
  <si>
    <t>Nội dung đọc được, thao tác được; không bị cắt ngoài ý muốn</t>
  </si>
  <si>
    <t>Media queries trong pages.css, admin.css; chưa xác minh hiển thị</t>
  </si>
  <si>
    <t>UI-003</t>
  </si>
  <si>
    <t>Điều khiển popup bằng bàn phím</t>
  </si>
  <si>
    <t>Tab, Shift+Tab, Enter, Escape</t>
  </si>
  <si>
    <t>Mở product/auth/review bằng bàn phím → đóng</t>
  </si>
  <si>
    <t>Focus nhìn thấy, thao tác được, không kẹt focus; trả focus hợp lý</t>
  </si>
  <si>
    <t>products.js, &lt;dialog&gt;, slideshow.js; chưa xác minh accessibility</t>
  </si>
  <si>
    <t>Requirement ID</t>
  </si>
  <si>
    <t>Module / Yêu cầu</t>
  </si>
  <si>
    <t>Test Case ID</t>
  </si>
  <si>
    <t>Test Result</t>
  </si>
  <si>
    <t>Coverage Status</t>
  </si>
  <si>
    <t>R01</t>
  </si>
  <si>
    <t>Cú pháp và dữ liệu đầu vào đọc được</t>
  </si>
  <si>
    <t>DATA-001–004</t>
  </si>
  <si>
    <t>Pass trong phạm vi kiểm tra</t>
  </si>
  <si>
    <t>Đã kiểm tra tĩnh tự động</t>
  </si>
  <si>
    <t>R02</t>
  </si>
  <si>
    <t>Tài nguyên local và imports tồn tại</t>
  </si>
  <si>
    <t>DATA-005–008</t>
  </si>
  <si>
    <t>Đã kiểm tra filesystem</t>
  </si>
  <si>
    <t>R03</t>
  </si>
  <si>
    <t>Cổng cấp quyền và chặn truy cập chưa cấp role</t>
  </si>
  <si>
    <t>GATE-001–004, ADM-001</t>
  </si>
  <si>
    <t>Giới hạn client</t>
  </si>
  <si>
    <t>Có thiết kế; chưa chạy</t>
  </si>
  <si>
    <t>R04</t>
  </si>
  <si>
    <t>Countdown không âm</t>
  </si>
  <si>
    <t>R05</t>
  </si>
  <si>
    <t>Đăng ký và validation</t>
  </si>
  <si>
    <t>AUTH-001–004</t>
  </si>
  <si>
    <t>Có thiết kế; bao phủ một phần</t>
  </si>
  <si>
    <t>R06</t>
  </si>
  <si>
    <t>Đăng nhập/đăng xuất</t>
  </si>
  <si>
    <t>AUTH-005–007</t>
  </si>
  <si>
    <t>R07</t>
  </si>
  <si>
    <t>Cập nhật hồ sơ và password</t>
  </si>
  <si>
    <t>ACC-001–003</t>
  </si>
  <si>
    <t>R08</t>
  </si>
  <si>
    <t>Lịch sử đơn đúng tài khoản</t>
  </si>
  <si>
    <t>R09</t>
  </si>
  <si>
    <t>Danh mục và điều hướng nhóm</t>
  </si>
  <si>
    <t>SHOP-001–002</t>
  </si>
  <si>
    <t>R10</t>
  </si>
  <si>
    <t>Tiền tệ và fallback</t>
  </si>
  <si>
    <t>R11</t>
  </si>
  <si>
    <t>Lựa chọn sản phẩm hợp lệ</t>
  </si>
  <si>
    <t>SHOP-004–006</t>
  </si>
  <si>
    <t>R12</t>
  </si>
  <si>
    <t>Gợi ý size và phục hồi lỗi</t>
  </si>
  <si>
    <t>SIZE-001–004</t>
  </si>
  <si>
    <t>R13</t>
  </si>
  <si>
    <t>Giỏ nhất quán, không vượt kho</t>
  </si>
  <si>
    <t>CART-001–006</t>
  </si>
  <si>
    <t>B01, B06, B10</t>
  </si>
  <si>
    <t>R14</t>
  </si>
  <si>
    <t>Giảm giá và tổng tiền</t>
  </si>
  <si>
    <t>CHK-001–004</t>
  </si>
  <si>
    <t>R15</t>
  </si>
  <si>
    <t>Checkout hợp lệ và bảo toàn dữ liệu</t>
  </si>
  <si>
    <t>CHK-005–010</t>
  </si>
  <si>
    <t>B02, B04, B07</t>
  </si>
  <si>
    <t>R16</t>
  </si>
  <si>
    <t>Tồn kho sau đặt hàng</t>
  </si>
  <si>
    <t>Có thiết kế; chức năng còn thiếu</t>
  </si>
  <si>
    <t>R17</t>
  </si>
  <si>
    <t>Liên hệ và lưu tin</t>
  </si>
  <si>
    <t>CT-001–003</t>
  </si>
  <si>
    <t>R18</t>
  </si>
  <si>
    <t>Dashboard, đơn, sản phẩm, tin nhắn</t>
  </si>
  <si>
    <t>ADM-002–008</t>
  </si>
  <si>
    <t>R19</t>
  </si>
  <si>
    <t>Backup và quản lý dữ liệu demo</t>
  </si>
  <si>
    <t>BKP-001–005</t>
  </si>
  <si>
    <t>B09, B10, B13</t>
  </si>
  <si>
    <t>R20</t>
  </si>
  <si>
    <t>Điều hướng, responsive, bàn phím</t>
  </si>
  <si>
    <t>UI-001–003</t>
  </si>
  <si>
    <t>R21</t>
  </si>
  <si>
    <t>Quản trị ngày launch</t>
  </si>
  <si>
    <t>Chưa có</t>
  </si>
  <si>
    <t>Chưa có test; chưa có UI</t>
  </si>
  <si>
    <t>R22</t>
  </si>
  <si>
    <t>Lọc size/màu, sắp xếp giá</t>
  </si>
  <si>
    <t>Chưa có test; phạm vi chưa chốt</t>
  </si>
  <si>
    <t>R23</t>
  </si>
  <si>
    <t>Bảng size trực tiếp</t>
  </si>
  <si>
    <t>Chưa có test; chưa triển khai</t>
  </si>
  <si>
    <t>Thứ tự</t>
  </si>
  <si>
    <t>Nhóm việc</t>
  </si>
  <si>
    <t>Hành động đề xuất</t>
  </si>
  <si>
    <t>Test cần chạy lại</t>
  </si>
  <si>
    <t>Hạn hoàn thành</t>
  </si>
  <si>
    <t>Ghi chú</t>
  </si>
  <si>
    <t>1 — P0</t>
  </si>
  <si>
    <t>Sửa lỗi</t>
  </si>
  <si>
    <t>Chặn vượt tồn kho; xác thực giỏ và dùng cùng một snapshot cho tính tiền/lưu đơn</t>
  </si>
  <si>
    <t>CART-001–002, CHK-005, CHK-010</t>
  </si>
  <si>
    <t>2 — P0</t>
  </si>
  <si>
    <t>Chỉ báo đặt hàng thành công khi lưu thành công; giữ giỏ khi lỗi</t>
  </si>
  <si>
    <t>3 — P1</t>
  </si>
  <si>
    <t>Bổ sung nghiệp vụ</t>
  </si>
  <si>
    <t>Thống nhất cập nhật tồn kho khi đặt/hủy đơn</t>
  </si>
  <si>
    <t>CHK-011, ADM-003, ADM-005</t>
  </si>
  <si>
    <t>4 — P1</t>
  </si>
  <si>
    <t>Kiểm tra màu khả dụng và cập nhật badge giỏ</t>
  </si>
  <si>
    <t>SHOP-004, CART-005</t>
  </si>
  <si>
    <t>5 — P1</t>
  </si>
  <si>
    <t>Sửa validation điện thoại; phản hồi lỗi contact</t>
  </si>
  <si>
    <t>CHK-006, CT-001–003</t>
  </si>
  <si>
    <t>6 — P1</t>
  </si>
  <si>
    <t>Validate schema storage/backup; tránh restore một phần và sample trùng</t>
  </si>
  <si>
    <t>CART-006, BKP-002–004</t>
  </si>
  <si>
    <t>7 — P1</t>
  </si>
  <si>
    <t>Phân biệt empty/error; cho phép retry size và tải dữ liệu</t>
  </si>
  <si>
    <t>SIZE-004; bổ sung test lỗi mạng Cart</t>
  </si>
  <si>
    <t>8 — P1</t>
  </si>
  <si>
    <t>Kiểm thử</t>
  </si>
  <si>
    <t>Chạy toàn bộ test nghiệp vụ trong môi trường tách biệt được phép ghi</t>
  </si>
  <si>
    <t>63 test Not Executed</t>
  </si>
  <si>
    <t>9 — P1</t>
  </si>
  <si>
    <t>Bàn giao</t>
  </si>
  <si>
    <t>Cập nhật README, hoàn thiện kế hoạch/phân công/báo cáo/slides/kịch bản</t>
  </si>
  <si>
    <t>Rà soát tài liệu với mã thực tế</t>
  </si>
  <si>
    <t>10 — P2</t>
  </si>
  <si>
    <t>Hoàn thiện</t>
  </si>
  <si>
    <t>UI launch, bảng size, lọc/sắp xếp nếu được chốt trong phạm vi</t>
  </si>
  <si>
    <t>Bổ sung test cho R21–R23</t>
  </si>
  <si>
    <t>11 — P2</t>
  </si>
  <si>
    <t>Trải nghiệm</t>
  </si>
  <si>
    <t>Kiểm tra responsive/accessibility; tối ưu media theo kết quả đo</t>
  </si>
  <si>
    <t>UI-001–003 và kiểm tra hiệu năng</t>
  </si>
  <si>
    <t>Kiểm tra</t>
  </si>
  <si>
    <t>JavaScript syntax</t>
  </si>
  <si>
    <t>24/24 tệp qua node --check</t>
  </si>
  <si>
    <t>JSON parsing</t>
  </si>
  <si>
    <t>7/7 tệp đọc được bằng ConvertFrom-Json</t>
  </si>
  <si>
    <t>Sản phẩm</t>
  </si>
  <si>
    <t>32 sản phẩm, không trùng ID</t>
  </si>
  <si>
    <t>Kiểm tra cơ bản sản phẩm</t>
  </si>
  <si>
    <t>Không phát hiện ID rỗng, giá ≤ 0, stock âm/không nguyên, danh sách màu/size rỗng</t>
  </si>
  <si>
    <t>Ảnh sản phẩm</t>
  </si>
  <si>
    <t>477 tham chiếu ảnh, không thiếu file</t>
  </si>
  <si>
    <t>Đánh giá</t>
  </si>
  <si>
    <t>157 bản ghi; không phát hiện rating ngoài 1–5, entries hoặc images rỗng</t>
  </si>
  <si>
    <t>Ảnh đánh giá</t>
  </si>
  <si>
    <t>Không thiếu cả hai phương án .webp và .jpg</t>
  </si>
  <si>
    <t>Tài nguyên HTML</t>
  </si>
  <si>
    <t>Không phát hiện đường dẫn file trực tiếp bị thiếu</t>
  </si>
  <si>
    <t>Imports JavaScript</t>
  </si>
  <si>
    <t>Không phát hiện đích import tương đối bị thiếu</t>
  </si>
  <si>
    <t>Git</t>
  </si>
  <si>
    <t>Trước/sau đều không có thay đổi</t>
  </si>
  <si>
    <t>CHỈ SỐ</t>
  </si>
  <si>
    <t>GIÁ TRỊ</t>
  </si>
  <si>
    <t>GHI CHÚ</t>
  </si>
  <si>
    <t>Tổng test case</t>
  </si>
  <si>
    <t>Đếm ID thực tế, không dùng tổng số báo cáo văn bản</t>
  </si>
  <si>
    <t>Đã thực thi</t>
  </si>
  <si>
    <t>Chỉ bao gồm kiểm tra đã chạy</t>
  </si>
  <si>
    <t>8 trường hợp kiểm tra tĩnh</t>
  </si>
  <si>
    <t>Fail</t>
  </si>
  <si>
    <t>Chưa có browser test Fail được xác minh</t>
  </si>
  <si>
    <t>Chưa thực thi</t>
  </si>
  <si>
    <t>Các case chờ môi trường test</t>
  </si>
  <si>
    <t>Tỷ lệ thực thi</t>
  </si>
  <si>
    <t>Tỷ lệ số test đã chạy</t>
  </si>
  <si>
    <t>Tỷ lệ pass trên test đã có kết quả</t>
  </si>
  <si>
    <t>Không phải tỷ lệ hoàn thành nghiệp vụ</t>
  </si>
  <si>
    <t>Tổng bug audit</t>
  </si>
  <si>
    <t>Tất cả là phát hiện từ mã nguồn</t>
  </si>
  <si>
    <t>Bug High</t>
  </si>
  <si>
    <t>Ưu tiên xác minh và khắc phục</t>
  </si>
  <si>
    <t>Đề xuất tính năng</t>
  </si>
  <si>
    <t>M01–M10</t>
  </si>
  <si>
    <t>Yêu cầu RTM</t>
  </si>
  <si>
    <t>R01–R23</t>
  </si>
  <si>
    <t>Tình trạng browser QA</t>
  </si>
  <si>
    <t>Do yêu cầu bảo toàn trạng thái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</si>
</sst>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1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100_Huongdan" displayName="Tbl100_Huongdan" ref="A1:B12" totalsRowShown="0">
  <tableColumns count="2">
    <tableColumn id="1" xr3:uid="{00000000-0010-0000-0000-000001000000}" name="Mục"/>
    <tableColumn id="2" xr3:uid="{00000000-0010-0000-0000-000002000000}" name="Hướng dẫn / Nguồ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201_Tongquan" displayName="Tbl201_Tongquan" ref="A1:F16" totalsRowShown="0">
  <tableColumns count="6">
    <tableColumn id="1" xr3:uid="{00000000-0010-0000-0100-000001000000}" name="Module"/>
    <tableColumn id="2" xr3:uid="{00000000-0010-0000-0100-000002000000}" name="Chức năng"/>
    <tableColumn id="3" xr3:uid="{00000000-0010-0000-0100-000003000000}" name="Frontend"/>
    <tableColumn id="4" xr3:uid="{00000000-0010-0000-0100-000004000000}" name="Backend/API"/>
    <tableColumn id="5" xr3:uid="{00000000-0010-0000-0100-000005000000}" name="Database/lưu trữ"/>
    <tableColumn id="6" xr3:uid="{00000000-0010-0000-0100-000006000000}" name="Trạng thá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302_Bugs" displayName="Tbl302_Bugs" ref="A1:J15" totalsRowShown="0">
  <tableColumns count="10">
    <tableColumn id="1" xr3:uid="{00000000-0010-0000-0200-000001000000}" name="Bug ID"/>
    <tableColumn id="2" xr3:uid="{00000000-0010-0000-0200-000002000000}" name="Module"/>
    <tableColumn id="3" xr3:uid="{00000000-0010-0000-0200-000003000000}" name="Mô tả lỗi"/>
    <tableColumn id="4" xr3:uid="{00000000-0010-0000-0200-000004000000}" name="Severity"/>
    <tableColumn id="5" xr3:uid="{00000000-0010-0000-0200-000005000000}" name="Vị trí / bằng chứng"/>
    <tableColumn id="6" xr3:uid="{00000000-0010-0000-0200-000006000000}" name="Hướng sửa"/>
    <tableColumn id="7" xr3:uid="{00000000-0010-0000-0200-000007000000}" name="Xác minh"/>
    <tableColumn id="8" xr3:uid="{00000000-0010-0000-0200-000008000000}" name="Trạng thái dev"/>
    <tableColumn id="9" xr3:uid="{00000000-0010-0000-0200-000009000000}" name="Phụ trách"/>
    <tableColumn id="10" xr3:uid="{00000000-0010-0000-0200-00000A000000}" name="Ghi chú dev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403_Tinhnang" displayName="Tbl403_Tinhnang" ref="A1:J11" totalsRowShown="0">
  <tableColumns count="10">
    <tableColumn id="1" xr3:uid="{00000000-0010-0000-0300-000001000000}" name="ID"/>
    <tableColumn id="2" xr3:uid="{00000000-0010-0000-0300-000002000000}" name="Module"/>
    <tableColumn id="3" xr3:uid="{00000000-0010-0000-0300-000003000000}" name="Tính năng còn thiếu"/>
    <tableColumn id="4" xr3:uid="{00000000-0010-0000-0300-000004000000}" name="Hiện trạng/bằng chứng"/>
    <tableColumn id="5" xr3:uid="{00000000-0010-0000-0300-000005000000}" name="Lợi ích"/>
    <tableColumn id="6" xr3:uid="{00000000-0010-0000-0300-000006000000}" name="Priority"/>
    <tableColumn id="7" xr3:uid="{00000000-0010-0000-0300-000007000000}" name="Complexity"/>
    <tableColumn id="8" xr3:uid="{00000000-0010-0000-0300-000008000000}" name="Trạng thái dev"/>
    <tableColumn id="9" xr3:uid="{00000000-0010-0000-0300-000009000000}" name="Phụ trách"/>
    <tableColumn id="10" xr3:uid="{00000000-0010-0000-0300-00000A000000}" name="Ghi chú de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504_Testcases" displayName="Tbl504_Testcases" ref="A1:P71" totalsRowShown="0">
  <tableColumns count="16">
    <tableColumn id="1" xr3:uid="{00000000-0010-0000-0400-000001000000}" name="TC ID"/>
    <tableColumn id="2" xr3:uid="{00000000-0010-0000-0400-000002000000}" name="Module"/>
    <tableColumn id="3" xr3:uid="{00000000-0010-0000-0400-000003000000}" name="Kịch bản"/>
    <tableColumn id="4" xr3:uid="{00000000-0010-0000-0400-000004000000}" name="Loại"/>
    <tableColumn id="5" xr3:uid="{00000000-0010-0000-0400-000005000000}" name="Ưu tiên"/>
    <tableColumn id="6" xr3:uid="{00000000-0010-0000-0400-000006000000}" name="Điều kiện trước"/>
    <tableColumn id="7" xr3:uid="{00000000-0010-0000-0400-000007000000}" name="Dữ liệu test"/>
    <tableColumn id="8" xr3:uid="{00000000-0010-0000-0400-000008000000}" name="Bước thực hiện"/>
    <tableColumn id="9" xr3:uid="{00000000-0010-0000-0400-000009000000}" name="Kết quả mong đợi"/>
    <tableColumn id="10" xr3:uid="{00000000-0010-0000-0400-00000A000000}" name="Kết quả thực tế"/>
    <tableColumn id="11" xr3:uid="{00000000-0010-0000-0400-00000B000000}" name="Trạng thái chạy"/>
    <tableColumn id="12" xr3:uid="{00000000-0010-0000-0400-00000C000000}" name="Kết quả"/>
    <tableColumn id="13" xr3:uid="{00000000-0010-0000-0400-00000D000000}" name="Bằng chứng / nguồn"/>
    <tableColumn id="14" xr3:uid="{00000000-0010-0000-0400-00000E000000}" name="Bug liên quan"/>
    <tableColumn id="15" xr3:uid="{00000000-0010-0000-0400-00000F000000}" name="Evidence thực thi mới"/>
    <tableColumn id="16" xr3:uid="{00000000-0010-0000-0400-000010000000}" name="Người tes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605_RTM" displayName="Tbl605_RTM" ref="A1:F24" totalsRowShown="0">
  <tableColumns count="6">
    <tableColumn id="1" xr3:uid="{00000000-0010-0000-0500-000001000000}" name="Requirement ID"/>
    <tableColumn id="2" xr3:uid="{00000000-0010-0000-0500-000002000000}" name="Module / Yêu cầu"/>
    <tableColumn id="3" xr3:uid="{00000000-0010-0000-0500-000003000000}" name="Test Case ID"/>
    <tableColumn id="4" xr3:uid="{00000000-0010-0000-0500-000004000000}" name="Test Result"/>
    <tableColumn id="5" xr3:uid="{00000000-0010-0000-0500-000005000000}" name="Bug ID"/>
    <tableColumn id="6" xr3:uid="{00000000-0010-0000-0500-000006000000}" name="Coverage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706_Congviec" displayName="Tbl706_Congviec" ref="A1:H12" totalsRowShown="0">
  <tableColumns count="8">
    <tableColumn id="1" xr3:uid="{00000000-0010-0000-0600-000001000000}" name="Thứ tự"/>
    <tableColumn id="2" xr3:uid="{00000000-0010-0000-0600-000002000000}" name="Nhóm việc"/>
    <tableColumn id="3" xr3:uid="{00000000-0010-0000-0600-000003000000}" name="Hành động đề xuất"/>
    <tableColumn id="4" xr3:uid="{00000000-0010-0000-0600-000004000000}" name="Test cần chạy lại"/>
    <tableColumn id="5" xr3:uid="{00000000-0010-0000-0600-000005000000}" name="Trạng thái dev"/>
    <tableColumn id="6" xr3:uid="{00000000-0010-0000-0600-000006000000}" name="Phụ trách"/>
    <tableColumn id="7" xr3:uid="{00000000-0010-0000-0600-000007000000}" name="Hạn hoàn thành"/>
    <tableColumn id="8" xr3:uid="{00000000-0010-0000-0600-000008000000}" name="Ghi ch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807_Kiemtrati" displayName="Tbl807_Kiemtrati" ref="A1:B11" totalsRowShown="0">
  <tableColumns count="2">
    <tableColumn id="1" xr3:uid="{00000000-0010-0000-0700-000001000000}" name="Kiểm tra"/>
    <tableColumn id="2" xr3:uid="{00000000-0010-0000-0700-000002000000}" name="Kết quả thực t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8" customWidth="1"/>
    <col min="2" max="2" width="105" customWidth="1"/>
  </cols>
  <sheetData>
    <row r="1" spans="1:2" ht="36" customHeight="1">
      <c r="A1" s="2" t="s">
        <v>0</v>
      </c>
      <c r="B1" s="2" t="s">
        <v>1</v>
      </c>
    </row>
    <row r="2" spans="1:2" ht="34.049999999999997" customHeight="1">
      <c r="A2" s="4" t="s">
        <v>2</v>
      </c>
      <c r="B2" s="4" t="s">
        <v>3</v>
      </c>
    </row>
    <row r="3" spans="1:2" ht="34.049999999999997" customHeight="1">
      <c r="A3" s="4" t="s">
        <v>4</v>
      </c>
      <c r="B3" s="4" t="s">
        <v>5</v>
      </c>
    </row>
    <row r="4" spans="1:2" ht="34.049999999999997" customHeight="1">
      <c r="A4" s="4" t="s">
        <v>6</v>
      </c>
      <c r="B4" s="4" t="s">
        <v>7</v>
      </c>
    </row>
    <row r="5" spans="1:2" ht="34.049999999999997" customHeight="1">
      <c r="A5" s="4" t="s">
        <v>8</v>
      </c>
      <c r="B5" s="4" t="s">
        <v>9</v>
      </c>
    </row>
    <row r="6" spans="1:2" ht="34.049999999999997" customHeight="1">
      <c r="A6" s="4" t="s">
        <v>10</v>
      </c>
      <c r="B6" s="4" t="s">
        <v>11</v>
      </c>
    </row>
    <row r="7" spans="1:2" ht="34.049999999999997" customHeight="1">
      <c r="A7" s="4" t="s">
        <v>12</v>
      </c>
      <c r="B7" s="4" t="s">
        <v>13</v>
      </c>
    </row>
    <row r="8" spans="1:2" ht="34.049999999999997" customHeight="1">
      <c r="A8" s="4" t="s">
        <v>14</v>
      </c>
      <c r="B8" s="4" t="s">
        <v>15</v>
      </c>
    </row>
    <row r="9" spans="1:2" ht="34.049999999999997" customHeight="1">
      <c r="A9" s="4" t="s">
        <v>16</v>
      </c>
      <c r="B9" s="4" t="s">
        <v>17</v>
      </c>
    </row>
    <row r="10" spans="1:2" ht="34.049999999999997" customHeight="1">
      <c r="A10" s="4" t="s">
        <v>18</v>
      </c>
      <c r="B10" s="4" t="s">
        <v>19</v>
      </c>
    </row>
    <row r="11" spans="1:2" ht="34.049999999999997" customHeight="1">
      <c r="A11" s="4" t="s">
        <v>20</v>
      </c>
      <c r="B11" s="4" t="s">
        <v>21</v>
      </c>
    </row>
    <row r="12" spans="1:2" ht="34.049999999999997" customHeight="1">
      <c r="A12" s="4" t="s">
        <v>22</v>
      </c>
      <c r="B12" s="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 activeCell="C24" sqref="C24"/>
    </sheetView>
  </sheetViews>
  <sheetFormatPr defaultRowHeight="13.5"/>
  <cols>
    <col min="1" max="1" width="12.1875" bestFit="1" customWidth="1"/>
    <col min="2" max="2" width="37.125" bestFit="1" customWidth="1"/>
    <col min="3" max="3" width="20.0625" bestFit="1" customWidth="1"/>
    <col min="4" max="4" width="15.4375" bestFit="1" customWidth="1"/>
    <col min="5" max="5" width="17.9375" bestFit="1" customWidth="1"/>
    <col min="6" max="6" width="26.875" bestFit="1" customWidth="1"/>
  </cols>
  <sheetData>
    <row r="1" spans="1:6" ht="13.9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</row>
    <row r="3" spans="1:6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</row>
    <row r="4" spans="1:6">
      <c r="A4" s="4" t="s">
        <v>42</v>
      </c>
      <c r="B4" s="4" t="s">
        <v>43</v>
      </c>
      <c r="C4" s="4" t="s">
        <v>44</v>
      </c>
      <c r="D4" s="4" t="s">
        <v>39</v>
      </c>
      <c r="E4" s="4" t="s">
        <v>45</v>
      </c>
      <c r="F4" s="4" t="s">
        <v>46</v>
      </c>
    </row>
    <row r="5" spans="1:6">
      <c r="A5" s="4" t="s">
        <v>47</v>
      </c>
      <c r="B5" s="4" t="s">
        <v>48</v>
      </c>
      <c r="C5" s="4" t="s">
        <v>49</v>
      </c>
      <c r="D5" s="4" t="s">
        <v>39</v>
      </c>
      <c r="E5" s="4" t="s">
        <v>45</v>
      </c>
      <c r="F5" s="4" t="s">
        <v>35</v>
      </c>
    </row>
    <row r="6" spans="1:6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35</v>
      </c>
    </row>
    <row r="7" spans="1:6">
      <c r="A7" s="4" t="s">
        <v>55</v>
      </c>
      <c r="B7" s="4" t="s">
        <v>56</v>
      </c>
      <c r="C7" s="4" t="s">
        <v>57</v>
      </c>
      <c r="D7" s="4" t="s">
        <v>39</v>
      </c>
      <c r="E7" s="4" t="s">
        <v>58</v>
      </c>
      <c r="F7" s="4" t="s">
        <v>59</v>
      </c>
    </row>
    <row r="8" spans="1:6">
      <c r="A8" s="4" t="s">
        <v>60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65</v>
      </c>
    </row>
    <row r="9" spans="1:6">
      <c r="A9" s="4" t="s">
        <v>66</v>
      </c>
      <c r="B9" s="4" t="s">
        <v>67</v>
      </c>
      <c r="C9" s="4" t="s">
        <v>68</v>
      </c>
      <c r="D9" s="4" t="s">
        <v>69</v>
      </c>
      <c r="E9" s="4" t="s">
        <v>64</v>
      </c>
      <c r="F9" s="4" t="s">
        <v>35</v>
      </c>
    </row>
    <row r="10" spans="1:6">
      <c r="A10" s="4" t="s">
        <v>70</v>
      </c>
      <c r="B10" s="4" t="s">
        <v>71</v>
      </c>
      <c r="C10" s="4" t="s">
        <v>72</v>
      </c>
      <c r="D10" s="4" t="s">
        <v>73</v>
      </c>
      <c r="E10" s="4" t="s">
        <v>45</v>
      </c>
      <c r="F10" s="4" t="s">
        <v>74</v>
      </c>
    </row>
    <row r="11" spans="1:6">
      <c r="A11" s="4" t="s">
        <v>75</v>
      </c>
      <c r="B11" s="4" t="s">
        <v>76</v>
      </c>
      <c r="C11" s="4" t="s">
        <v>77</v>
      </c>
      <c r="D11" s="4" t="s">
        <v>39</v>
      </c>
      <c r="E11" s="4" t="s">
        <v>45</v>
      </c>
      <c r="F11" s="4" t="s">
        <v>59</v>
      </c>
    </row>
    <row r="12" spans="1:6">
      <c r="A12" s="4" t="s">
        <v>78</v>
      </c>
      <c r="B12" s="4" t="s">
        <v>79</v>
      </c>
      <c r="C12" s="4" t="s">
        <v>80</v>
      </c>
      <c r="D12" s="4" t="s">
        <v>39</v>
      </c>
      <c r="E12" s="4" t="s">
        <v>45</v>
      </c>
      <c r="F12" s="4" t="s">
        <v>59</v>
      </c>
    </row>
    <row r="13" spans="1:6">
      <c r="A13" s="4" t="s">
        <v>81</v>
      </c>
      <c r="B13" s="4" t="s">
        <v>82</v>
      </c>
      <c r="C13" s="4" t="s">
        <v>83</v>
      </c>
      <c r="D13" s="4" t="s">
        <v>84</v>
      </c>
      <c r="E13" s="4" t="s">
        <v>45</v>
      </c>
      <c r="F13" s="4" t="s">
        <v>59</v>
      </c>
    </row>
    <row r="14" spans="1:6">
      <c r="A14" s="4" t="s">
        <v>85</v>
      </c>
      <c r="B14" s="4" t="s">
        <v>86</v>
      </c>
      <c r="C14" s="4" t="s">
        <v>87</v>
      </c>
      <c r="D14" s="4" t="s">
        <v>88</v>
      </c>
      <c r="E14" s="4" t="s">
        <v>45</v>
      </c>
      <c r="F14" s="4" t="s">
        <v>65</v>
      </c>
    </row>
    <row r="15" spans="1:6">
      <c r="A15" s="4" t="s">
        <v>89</v>
      </c>
      <c r="B15" s="4" t="s">
        <v>90</v>
      </c>
      <c r="C15" s="4" t="s">
        <v>87</v>
      </c>
      <c r="D15" s="4" t="s">
        <v>39</v>
      </c>
      <c r="E15" s="4" t="s">
        <v>91</v>
      </c>
      <c r="F15" s="4" t="s">
        <v>59</v>
      </c>
    </row>
    <row r="16" spans="1:6">
      <c r="A16" s="4" t="s">
        <v>92</v>
      </c>
      <c r="B16" s="4" t="s">
        <v>93</v>
      </c>
      <c r="C16" s="4" t="s">
        <v>94</v>
      </c>
      <c r="D16" s="4" t="s">
        <v>39</v>
      </c>
      <c r="E16" s="4" t="s">
        <v>39</v>
      </c>
      <c r="F16" s="4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pane ySplit="1" topLeftCell="A2" activePane="bottomLeft" state="frozen"/>
      <selection pane="bottomLeft" activeCell="E6" sqref="E6"/>
    </sheetView>
  </sheetViews>
  <sheetFormatPr defaultColWidth="12.875" defaultRowHeight="28.5" customHeight="1"/>
  <cols>
    <col min="1" max="1" width="6.5" bestFit="1" customWidth="1"/>
    <col min="2" max="2" width="12.3125" bestFit="1" customWidth="1"/>
    <col min="3" max="3" width="32.6875" bestFit="1" customWidth="1"/>
    <col min="4" max="4" width="7.75" bestFit="1" customWidth="1"/>
    <col min="5" max="5" width="116.9375" bestFit="1" customWidth="1"/>
    <col min="6" max="6" width="32.5" bestFit="1" customWidth="1"/>
    <col min="7" max="7" width="11.8125" bestFit="1" customWidth="1"/>
    <col min="8" max="8" width="9.5" bestFit="1" customWidth="1"/>
    <col min="9" max="9" width="9.0625" bestFit="1" customWidth="1"/>
    <col min="10" max="10" width="11.1875" bestFit="1" customWidth="1"/>
  </cols>
  <sheetData>
    <row r="1" spans="1:10" ht="28.5" customHeight="1">
      <c r="A1" s="2" t="s">
        <v>95</v>
      </c>
      <c r="B1" s="2" t="s">
        <v>24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</row>
    <row r="2" spans="1:10" ht="28.5" customHeight="1">
      <c r="A2" s="4" t="s">
        <v>104</v>
      </c>
      <c r="B2" s="4" t="s">
        <v>75</v>
      </c>
      <c r="C2" s="4" t="s">
        <v>105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110</v>
      </c>
      <c r="I2" s="4"/>
      <c r="J2" s="4"/>
    </row>
    <row r="3" spans="1:10" ht="28.5" customHeight="1">
      <c r="A3" s="4" t="s">
        <v>111</v>
      </c>
      <c r="B3" s="4" t="s">
        <v>78</v>
      </c>
      <c r="C3" s="4" t="s">
        <v>112</v>
      </c>
      <c r="D3" s="4" t="s">
        <v>106</v>
      </c>
      <c r="E3" s="4" t="s">
        <v>113</v>
      </c>
      <c r="F3" s="4" t="s">
        <v>114</v>
      </c>
      <c r="G3" s="4" t="s">
        <v>109</v>
      </c>
      <c r="H3" s="4" t="s">
        <v>110</v>
      </c>
      <c r="I3" s="4"/>
      <c r="J3" s="4"/>
    </row>
    <row r="4" spans="1:10" ht="28.5" customHeight="1">
      <c r="A4" s="4" t="s">
        <v>115</v>
      </c>
      <c r="B4" s="4" t="s">
        <v>116</v>
      </c>
      <c r="C4" s="4" t="s">
        <v>117</v>
      </c>
      <c r="D4" s="4" t="s">
        <v>106</v>
      </c>
      <c r="E4" s="4" t="s">
        <v>118</v>
      </c>
      <c r="F4" s="4" t="s">
        <v>119</v>
      </c>
      <c r="G4" s="4" t="s">
        <v>109</v>
      </c>
      <c r="H4" s="4" t="s">
        <v>110</v>
      </c>
      <c r="I4" s="4"/>
      <c r="J4" s="4"/>
    </row>
    <row r="5" spans="1:10" ht="28.5" customHeight="1">
      <c r="A5" s="4" t="s">
        <v>120</v>
      </c>
      <c r="B5" s="4" t="s">
        <v>78</v>
      </c>
      <c r="C5" s="4" t="s">
        <v>121</v>
      </c>
      <c r="D5" s="4" t="s">
        <v>106</v>
      </c>
      <c r="E5" s="4" t="s">
        <v>122</v>
      </c>
      <c r="F5" s="4" t="s">
        <v>123</v>
      </c>
      <c r="G5" s="4" t="s">
        <v>109</v>
      </c>
      <c r="H5" s="4" t="s">
        <v>110</v>
      </c>
      <c r="I5" s="4"/>
      <c r="J5" s="4"/>
    </row>
    <row r="6" spans="1:10" ht="28.5" customHeight="1">
      <c r="A6" s="4" t="s">
        <v>124</v>
      </c>
      <c r="B6" s="4" t="s">
        <v>125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109</v>
      </c>
      <c r="H6" s="4" t="s">
        <v>110</v>
      </c>
      <c r="I6" s="4"/>
      <c r="J6" s="4"/>
    </row>
    <row r="7" spans="1:10" ht="28.5" customHeight="1">
      <c r="A7" s="4" t="s">
        <v>130</v>
      </c>
      <c r="B7" s="4" t="s">
        <v>131</v>
      </c>
      <c r="C7" s="4" t="s">
        <v>132</v>
      </c>
      <c r="D7" s="4" t="s">
        <v>127</v>
      </c>
      <c r="E7" s="4" t="s">
        <v>133</v>
      </c>
      <c r="F7" s="4" t="s">
        <v>134</v>
      </c>
      <c r="G7" s="4" t="s">
        <v>109</v>
      </c>
      <c r="H7" s="4" t="s">
        <v>110</v>
      </c>
      <c r="I7" s="4"/>
      <c r="J7" s="4"/>
    </row>
    <row r="8" spans="1:10" ht="28.5" customHeight="1">
      <c r="A8" s="4" t="s">
        <v>135</v>
      </c>
      <c r="B8" s="4" t="s">
        <v>136</v>
      </c>
      <c r="C8" s="4" t="s">
        <v>137</v>
      </c>
      <c r="D8" s="4" t="s">
        <v>127</v>
      </c>
      <c r="E8" s="4" t="s">
        <v>138</v>
      </c>
      <c r="F8" s="4" t="s">
        <v>139</v>
      </c>
      <c r="G8" s="4" t="s">
        <v>109</v>
      </c>
      <c r="H8" s="4" t="s">
        <v>110</v>
      </c>
      <c r="I8" s="4"/>
      <c r="J8" s="4"/>
    </row>
    <row r="9" spans="1:10" ht="28.5" customHeight="1">
      <c r="A9" s="4" t="s">
        <v>140</v>
      </c>
      <c r="B9" s="4" t="s">
        <v>81</v>
      </c>
      <c r="C9" s="4" t="s">
        <v>141</v>
      </c>
      <c r="D9" s="4" t="s">
        <v>127</v>
      </c>
      <c r="E9" s="4" t="s">
        <v>142</v>
      </c>
      <c r="F9" s="4" t="s">
        <v>143</v>
      </c>
      <c r="G9" s="4" t="s">
        <v>109</v>
      </c>
      <c r="H9" s="4" t="s">
        <v>110</v>
      </c>
      <c r="I9" s="4"/>
      <c r="J9" s="4"/>
    </row>
    <row r="10" spans="1:10" ht="28.5" customHeight="1">
      <c r="A10" s="4" t="s">
        <v>144</v>
      </c>
      <c r="B10" s="4" t="s">
        <v>89</v>
      </c>
      <c r="C10" s="4" t="s">
        <v>145</v>
      </c>
      <c r="D10" s="4" t="s">
        <v>106</v>
      </c>
      <c r="E10" s="4" t="s">
        <v>146</v>
      </c>
      <c r="F10" s="4" t="s">
        <v>147</v>
      </c>
      <c r="G10" s="4" t="s">
        <v>109</v>
      </c>
      <c r="H10" s="4" t="s">
        <v>110</v>
      </c>
      <c r="I10" s="4"/>
      <c r="J10" s="4"/>
    </row>
    <row r="11" spans="1:10" ht="28.5" customHeight="1">
      <c r="A11" s="4" t="s">
        <v>148</v>
      </c>
      <c r="B11" s="4" t="s">
        <v>149</v>
      </c>
      <c r="C11" s="4" t="s">
        <v>150</v>
      </c>
      <c r="D11" s="4" t="s">
        <v>127</v>
      </c>
      <c r="E11" s="4" t="s">
        <v>151</v>
      </c>
      <c r="F11" s="4" t="s">
        <v>152</v>
      </c>
      <c r="G11" s="4" t="s">
        <v>109</v>
      </c>
      <c r="H11" s="4" t="s">
        <v>110</v>
      </c>
      <c r="I11" s="4"/>
      <c r="J11" s="4"/>
    </row>
    <row r="12" spans="1:10" ht="28.5" customHeight="1">
      <c r="A12" s="4" t="s">
        <v>153</v>
      </c>
      <c r="B12" s="4" t="s">
        <v>154</v>
      </c>
      <c r="C12" s="4" t="s">
        <v>155</v>
      </c>
      <c r="D12" s="4" t="s">
        <v>127</v>
      </c>
      <c r="E12" s="4" t="s">
        <v>156</v>
      </c>
      <c r="F12" s="4" t="s">
        <v>157</v>
      </c>
      <c r="G12" s="4" t="s">
        <v>109</v>
      </c>
      <c r="H12" s="4" t="s">
        <v>110</v>
      </c>
      <c r="I12" s="4"/>
      <c r="J12" s="4"/>
    </row>
    <row r="13" spans="1:10" ht="28.5" customHeight="1">
      <c r="A13" s="4" t="s">
        <v>158</v>
      </c>
      <c r="B13" s="4" t="s">
        <v>60</v>
      </c>
      <c r="C13" s="4" t="s">
        <v>159</v>
      </c>
      <c r="D13" s="4" t="s">
        <v>127</v>
      </c>
      <c r="E13" s="4" t="s">
        <v>160</v>
      </c>
      <c r="F13" s="4" t="s">
        <v>161</v>
      </c>
      <c r="G13" s="4" t="s">
        <v>109</v>
      </c>
      <c r="H13" s="4" t="s">
        <v>110</v>
      </c>
      <c r="I13" s="4"/>
      <c r="J13" s="4"/>
    </row>
    <row r="14" spans="1:10" ht="28.5" customHeight="1">
      <c r="A14" s="4" t="s">
        <v>162</v>
      </c>
      <c r="B14" s="4" t="s">
        <v>163</v>
      </c>
      <c r="C14" s="4" t="s">
        <v>164</v>
      </c>
      <c r="D14" s="4" t="s">
        <v>127</v>
      </c>
      <c r="E14" s="4" t="s">
        <v>165</v>
      </c>
      <c r="F14" s="4" t="s">
        <v>166</v>
      </c>
      <c r="G14" s="4" t="s">
        <v>109</v>
      </c>
      <c r="H14" s="4" t="s">
        <v>110</v>
      </c>
      <c r="I14" s="4"/>
      <c r="J14" s="4"/>
    </row>
    <row r="15" spans="1:10" ht="28.5" customHeight="1">
      <c r="A15" s="4" t="s">
        <v>167</v>
      </c>
      <c r="B15" s="4" t="s">
        <v>168</v>
      </c>
      <c r="C15" s="4" t="s">
        <v>169</v>
      </c>
      <c r="D15" s="4" t="s">
        <v>170</v>
      </c>
      <c r="E15" s="4" t="s">
        <v>171</v>
      </c>
      <c r="F15" s="4" t="s">
        <v>172</v>
      </c>
      <c r="G15" s="4" t="s">
        <v>109</v>
      </c>
      <c r="H15" s="4" t="s">
        <v>110</v>
      </c>
      <c r="I15" s="4"/>
      <c r="J15" s="4"/>
    </row>
  </sheetData>
  <dataValidations count="1">
    <dataValidation type="list" sqref="H2:H250" xr:uid="{00000000-0002-0000-0200-000000000000}">
      <formula1>"Chưa xử lý,Đang xử lý,Đã sửa,Chờ QA,Đóng,Không sửa"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1" topLeftCell="A2" activePane="bottomLeft" state="frozen"/>
      <selection pane="bottomLeft" activeCell="D25" sqref="D25"/>
    </sheetView>
  </sheetViews>
  <sheetFormatPr defaultRowHeight="13.5"/>
  <cols>
    <col min="1" max="1" width="4.125" bestFit="1" customWidth="1"/>
    <col min="2" max="2" width="8.3125" bestFit="1" customWidth="1"/>
    <col min="3" max="3" width="34.0625" bestFit="1" customWidth="1"/>
    <col min="4" max="4" width="63.25" bestFit="1" customWidth="1"/>
    <col min="5" max="5" width="40.0625" bestFit="1" customWidth="1"/>
    <col min="6" max="6" width="18.0625" bestFit="1" customWidth="1"/>
    <col min="7" max="7" width="10.5" bestFit="1" customWidth="1"/>
    <col min="8" max="8" width="13.25" bestFit="1" customWidth="1"/>
    <col min="9" max="9" width="9.0625" bestFit="1" customWidth="1"/>
    <col min="10" max="10" width="11.1875" bestFit="1" customWidth="1"/>
  </cols>
  <sheetData>
    <row r="1" spans="1:10" ht="13.9">
      <c r="A1" s="2" t="s">
        <v>173</v>
      </c>
      <c r="B1" s="2" t="s">
        <v>24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101</v>
      </c>
      <c r="I1" s="2" t="s">
        <v>102</v>
      </c>
      <c r="J1" s="2" t="s">
        <v>103</v>
      </c>
    </row>
    <row r="2" spans="1:10">
      <c r="A2" s="4" t="s">
        <v>179</v>
      </c>
      <c r="B2" s="4" t="s">
        <v>78</v>
      </c>
      <c r="C2" s="4" t="s">
        <v>180</v>
      </c>
      <c r="D2" s="4" t="s">
        <v>181</v>
      </c>
      <c r="E2" s="4" t="s">
        <v>182</v>
      </c>
      <c r="F2" s="4" t="s">
        <v>183</v>
      </c>
      <c r="G2" s="4" t="s">
        <v>184</v>
      </c>
      <c r="H2" s="4" t="s">
        <v>110</v>
      </c>
      <c r="I2" s="4"/>
      <c r="J2" s="4"/>
    </row>
    <row r="3" spans="1:10">
      <c r="A3" s="4" t="s">
        <v>185</v>
      </c>
      <c r="B3" s="4" t="s">
        <v>149</v>
      </c>
      <c r="C3" s="4" t="s">
        <v>186</v>
      </c>
      <c r="D3" s="4" t="s">
        <v>187</v>
      </c>
      <c r="E3" s="4" t="s">
        <v>188</v>
      </c>
      <c r="F3" s="4" t="s">
        <v>183</v>
      </c>
      <c r="G3" s="4" t="s">
        <v>189</v>
      </c>
      <c r="H3" s="4" t="s">
        <v>110</v>
      </c>
      <c r="I3" s="4"/>
      <c r="J3" s="4"/>
    </row>
    <row r="4" spans="1:10">
      <c r="A4" s="4" t="s">
        <v>190</v>
      </c>
      <c r="B4" s="4" t="s">
        <v>116</v>
      </c>
      <c r="C4" s="4" t="s">
        <v>191</v>
      </c>
      <c r="D4" s="4" t="s">
        <v>192</v>
      </c>
      <c r="E4" s="4" t="s">
        <v>193</v>
      </c>
      <c r="F4" s="4" t="s">
        <v>194</v>
      </c>
      <c r="G4" s="4" t="s">
        <v>184</v>
      </c>
      <c r="H4" s="4" t="s">
        <v>110</v>
      </c>
      <c r="I4" s="4"/>
      <c r="J4" s="4"/>
    </row>
    <row r="5" spans="1:10">
      <c r="A5" s="4" t="s">
        <v>195</v>
      </c>
      <c r="B5" s="4" t="s">
        <v>89</v>
      </c>
      <c r="C5" s="4" t="s">
        <v>196</v>
      </c>
      <c r="D5" s="4" t="s">
        <v>144</v>
      </c>
      <c r="E5" s="4" t="s">
        <v>197</v>
      </c>
      <c r="F5" s="4" t="s">
        <v>194</v>
      </c>
      <c r="G5" s="4" t="s">
        <v>184</v>
      </c>
      <c r="H5" s="4" t="s">
        <v>110</v>
      </c>
      <c r="I5" s="4"/>
      <c r="J5" s="4"/>
    </row>
    <row r="6" spans="1:10">
      <c r="A6" s="4" t="s">
        <v>198</v>
      </c>
      <c r="B6" s="4" t="s">
        <v>50</v>
      </c>
      <c r="C6" s="4" t="s">
        <v>199</v>
      </c>
      <c r="D6" s="4" t="s">
        <v>124</v>
      </c>
      <c r="E6" s="4" t="s">
        <v>200</v>
      </c>
      <c r="F6" s="4" t="s">
        <v>194</v>
      </c>
      <c r="G6" s="4" t="s">
        <v>201</v>
      </c>
      <c r="H6" s="4" t="s">
        <v>110</v>
      </c>
      <c r="I6" s="4"/>
      <c r="J6" s="4"/>
    </row>
    <row r="7" spans="1:10">
      <c r="A7" s="4" t="s">
        <v>202</v>
      </c>
      <c r="B7" s="4" t="s">
        <v>203</v>
      </c>
      <c r="C7" s="4" t="s">
        <v>204</v>
      </c>
      <c r="D7" s="4" t="s">
        <v>205</v>
      </c>
      <c r="E7" s="4" t="s">
        <v>206</v>
      </c>
      <c r="F7" s="4" t="s">
        <v>194</v>
      </c>
      <c r="G7" s="4" t="s">
        <v>189</v>
      </c>
      <c r="H7" s="4" t="s">
        <v>110</v>
      </c>
      <c r="I7" s="4"/>
      <c r="J7" s="4"/>
    </row>
    <row r="8" spans="1:10">
      <c r="A8" s="4" t="s">
        <v>207</v>
      </c>
      <c r="B8" s="4" t="s">
        <v>85</v>
      </c>
      <c r="C8" s="4" t="s">
        <v>208</v>
      </c>
      <c r="D8" s="4" t="s">
        <v>209</v>
      </c>
      <c r="E8" s="4" t="s">
        <v>210</v>
      </c>
      <c r="F8" s="4" t="s">
        <v>211</v>
      </c>
      <c r="G8" s="4" t="s">
        <v>201</v>
      </c>
      <c r="H8" s="4" t="s">
        <v>110</v>
      </c>
      <c r="I8" s="4"/>
      <c r="J8" s="4"/>
    </row>
    <row r="9" spans="1:10">
      <c r="A9" s="4" t="s">
        <v>212</v>
      </c>
      <c r="B9" s="4" t="s">
        <v>50</v>
      </c>
      <c r="C9" s="4" t="s">
        <v>213</v>
      </c>
      <c r="D9" s="4" t="s">
        <v>214</v>
      </c>
      <c r="E9" s="4" t="s">
        <v>215</v>
      </c>
      <c r="F9" s="4" t="s">
        <v>216</v>
      </c>
      <c r="G9" s="4" t="s">
        <v>184</v>
      </c>
      <c r="H9" s="4" t="s">
        <v>110</v>
      </c>
      <c r="I9" s="4"/>
      <c r="J9" s="4"/>
    </row>
    <row r="10" spans="1:10">
      <c r="A10" s="4" t="s">
        <v>217</v>
      </c>
      <c r="B10" s="4" t="s">
        <v>125</v>
      </c>
      <c r="C10" s="4" t="s">
        <v>218</v>
      </c>
      <c r="D10" s="4" t="s">
        <v>219</v>
      </c>
      <c r="E10" s="4" t="s">
        <v>220</v>
      </c>
      <c r="F10" s="4" t="s">
        <v>211</v>
      </c>
      <c r="G10" s="4" t="s">
        <v>189</v>
      </c>
      <c r="H10" s="4" t="s">
        <v>110</v>
      </c>
      <c r="I10" s="4"/>
      <c r="J10" s="4"/>
    </row>
    <row r="11" spans="1:10">
      <c r="A11" s="4" t="s">
        <v>221</v>
      </c>
      <c r="B11" s="4" t="s">
        <v>222</v>
      </c>
      <c r="C11" s="4" t="s">
        <v>223</v>
      </c>
      <c r="D11" s="4" t="s">
        <v>224</v>
      </c>
      <c r="E11" s="4" t="s">
        <v>225</v>
      </c>
      <c r="F11" s="4" t="s">
        <v>194</v>
      </c>
      <c r="G11" s="4" t="s">
        <v>184</v>
      </c>
      <c r="H11" s="4" t="s">
        <v>110</v>
      </c>
      <c r="I11" s="4"/>
      <c r="J11" s="4"/>
    </row>
  </sheetData>
  <dataValidations count="1">
    <dataValidation type="list" sqref="H2:H250" xr:uid="{00000000-0002-0000-0300-000000000000}">
      <formula1>"Chưa xử lý,Đang xử lý,Đã hoàn thành,Không thực hiện,Cần xác nhận"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1"/>
  <sheetViews>
    <sheetView topLeftCell="J1" workbookViewId="0">
      <pane ySplit="1" topLeftCell="A29" activePane="bottomLeft" state="frozen"/>
      <selection pane="bottomLeft" activeCell="C12" sqref="C12"/>
    </sheetView>
  </sheetViews>
  <sheetFormatPr defaultRowHeight="13.5"/>
  <cols>
    <col min="1" max="1" width="9.4375" bestFit="1" customWidth="1"/>
    <col min="2" max="2" width="9.8125" bestFit="1" customWidth="1"/>
    <col min="3" max="3" width="33.4375" bestFit="1" customWidth="1"/>
    <col min="4" max="4" width="4.4375" bestFit="1" customWidth="1"/>
    <col min="5" max="5" width="7.0625" bestFit="1" customWidth="1"/>
    <col min="6" max="6" width="40.125" bestFit="1" customWidth="1"/>
    <col min="7" max="7" width="36.125" bestFit="1" customWidth="1"/>
    <col min="8" max="8" width="50.8125" bestFit="1" customWidth="1"/>
    <col min="9" max="9" width="61.25" bestFit="1" customWidth="1"/>
    <col min="10" max="10" width="50.625" bestFit="1" customWidth="1"/>
    <col min="11" max="11" width="14.1875" bestFit="1" customWidth="1"/>
    <col min="12" max="12" width="7.375" bestFit="1" customWidth="1"/>
    <col min="13" max="13" width="60.8125" bestFit="1" customWidth="1"/>
    <col min="14" max="14" width="12.75" bestFit="1" customWidth="1"/>
    <col min="15" max="15" width="20.0625" bestFit="1" customWidth="1"/>
    <col min="16" max="16" width="10" bestFit="1" customWidth="1"/>
  </cols>
  <sheetData>
    <row r="1" spans="1:16" ht="13.9">
      <c r="A1" s="2" t="s">
        <v>226</v>
      </c>
      <c r="B1" s="2" t="s">
        <v>24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232</v>
      </c>
      <c r="I1" s="2" t="s">
        <v>233</v>
      </c>
      <c r="J1" s="2" t="s">
        <v>234</v>
      </c>
      <c r="K1" s="2" t="s">
        <v>235</v>
      </c>
      <c r="L1" s="2" t="s">
        <v>236</v>
      </c>
      <c r="M1" s="2" t="s">
        <v>237</v>
      </c>
      <c r="N1" s="2" t="s">
        <v>238</v>
      </c>
      <c r="O1" s="2" t="s">
        <v>239</v>
      </c>
      <c r="P1" s="2" t="s">
        <v>240</v>
      </c>
    </row>
    <row r="2" spans="1:16">
      <c r="A2" s="4" t="s">
        <v>241</v>
      </c>
      <c r="B2" s="4" t="s">
        <v>242</v>
      </c>
      <c r="C2" s="4" t="s">
        <v>243</v>
      </c>
      <c r="D2" s="4" t="s">
        <v>244</v>
      </c>
      <c r="E2" s="4" t="s">
        <v>183</v>
      </c>
      <c r="F2" s="4" t="s">
        <v>245</v>
      </c>
      <c r="G2" s="4" t="s">
        <v>246</v>
      </c>
      <c r="H2" s="4" t="s">
        <v>247</v>
      </c>
      <c r="I2" s="4" t="s">
        <v>248</v>
      </c>
      <c r="J2" s="4" t="s">
        <v>249</v>
      </c>
      <c r="K2" s="4" t="s">
        <v>250</v>
      </c>
      <c r="L2" s="4" t="s">
        <v>251</v>
      </c>
      <c r="M2" s="4" t="s">
        <v>252</v>
      </c>
      <c r="N2" s="4" t="s">
        <v>39</v>
      </c>
      <c r="O2" s="4"/>
      <c r="P2" s="4"/>
    </row>
    <row r="3" spans="1:16">
      <c r="A3" s="4" t="s">
        <v>253</v>
      </c>
      <c r="B3" s="4" t="s">
        <v>242</v>
      </c>
      <c r="C3" s="4" t="s">
        <v>254</v>
      </c>
      <c r="D3" s="4" t="s">
        <v>244</v>
      </c>
      <c r="E3" s="4" t="s">
        <v>183</v>
      </c>
      <c r="F3" s="4" t="s">
        <v>255</v>
      </c>
      <c r="G3" s="4" t="s">
        <v>246</v>
      </c>
      <c r="H3" s="4" t="s">
        <v>256</v>
      </c>
      <c r="I3" s="4" t="s">
        <v>257</v>
      </c>
      <c r="J3" s="4" t="s">
        <v>258</v>
      </c>
      <c r="K3" s="4" t="s">
        <v>250</v>
      </c>
      <c r="L3" s="4" t="s">
        <v>251</v>
      </c>
      <c r="M3" s="4" t="s">
        <v>259</v>
      </c>
      <c r="N3" s="4" t="s">
        <v>39</v>
      </c>
      <c r="O3" s="4"/>
      <c r="P3" s="4"/>
    </row>
    <row r="4" spans="1:16">
      <c r="A4" s="4" t="s">
        <v>260</v>
      </c>
      <c r="B4" s="4" t="s">
        <v>242</v>
      </c>
      <c r="C4" s="4" t="s">
        <v>261</v>
      </c>
      <c r="D4" s="4" t="s">
        <v>244</v>
      </c>
      <c r="E4" s="4" t="s">
        <v>183</v>
      </c>
      <c r="F4" s="4" t="s">
        <v>262</v>
      </c>
      <c r="G4" s="4" t="s">
        <v>246</v>
      </c>
      <c r="H4" s="4" t="s">
        <v>263</v>
      </c>
      <c r="I4" s="4" t="s">
        <v>264</v>
      </c>
      <c r="J4" s="4" t="s">
        <v>265</v>
      </c>
      <c r="K4" s="4" t="s">
        <v>250</v>
      </c>
      <c r="L4" s="4" t="s">
        <v>251</v>
      </c>
      <c r="M4" s="4" t="s">
        <v>266</v>
      </c>
      <c r="N4" s="4" t="s">
        <v>39</v>
      </c>
      <c r="O4" s="4"/>
      <c r="P4" s="4"/>
    </row>
    <row r="5" spans="1:16">
      <c r="A5" s="4" t="s">
        <v>267</v>
      </c>
      <c r="B5" s="4" t="s">
        <v>242</v>
      </c>
      <c r="C5" s="4" t="s">
        <v>268</v>
      </c>
      <c r="D5" s="4" t="s">
        <v>244</v>
      </c>
      <c r="E5" s="4" t="s">
        <v>194</v>
      </c>
      <c r="F5" s="4" t="s">
        <v>269</v>
      </c>
      <c r="G5" s="4" t="s">
        <v>246</v>
      </c>
      <c r="H5" s="4" t="s">
        <v>270</v>
      </c>
      <c r="I5" s="4" t="s">
        <v>271</v>
      </c>
      <c r="J5" s="4" t="s">
        <v>272</v>
      </c>
      <c r="K5" s="4" t="s">
        <v>250</v>
      </c>
      <c r="L5" s="4" t="s">
        <v>251</v>
      </c>
      <c r="M5" s="4" t="s">
        <v>273</v>
      </c>
      <c r="N5" s="4" t="s">
        <v>39</v>
      </c>
      <c r="O5" s="4"/>
      <c r="P5" s="4"/>
    </row>
    <row r="6" spans="1:16">
      <c r="A6" s="4" t="s">
        <v>274</v>
      </c>
      <c r="B6" s="4" t="s">
        <v>242</v>
      </c>
      <c r="C6" s="4" t="s">
        <v>275</v>
      </c>
      <c r="D6" s="4" t="s">
        <v>276</v>
      </c>
      <c r="E6" s="4" t="s">
        <v>194</v>
      </c>
      <c r="F6" s="4" t="s">
        <v>277</v>
      </c>
      <c r="G6" s="4" t="s">
        <v>246</v>
      </c>
      <c r="H6" s="4" t="s">
        <v>278</v>
      </c>
      <c r="I6" s="4" t="s">
        <v>279</v>
      </c>
      <c r="J6" s="4" t="s">
        <v>280</v>
      </c>
      <c r="K6" s="4" t="s">
        <v>250</v>
      </c>
      <c r="L6" s="4" t="s">
        <v>251</v>
      </c>
      <c r="M6" s="4" t="s">
        <v>281</v>
      </c>
      <c r="N6" s="4" t="s">
        <v>39</v>
      </c>
      <c r="O6" s="4"/>
      <c r="P6" s="4"/>
    </row>
    <row r="7" spans="1:16">
      <c r="A7" s="4" t="s">
        <v>282</v>
      </c>
      <c r="B7" s="4" t="s">
        <v>242</v>
      </c>
      <c r="C7" s="4" t="s">
        <v>283</v>
      </c>
      <c r="D7" s="4" t="s">
        <v>276</v>
      </c>
      <c r="E7" s="4" t="s">
        <v>194</v>
      </c>
      <c r="F7" s="4" t="s">
        <v>284</v>
      </c>
      <c r="G7" s="4" t="s">
        <v>246</v>
      </c>
      <c r="H7" s="4" t="s">
        <v>285</v>
      </c>
      <c r="I7" s="4" t="s">
        <v>286</v>
      </c>
      <c r="J7" s="4" t="s">
        <v>287</v>
      </c>
      <c r="K7" s="4" t="s">
        <v>250</v>
      </c>
      <c r="L7" s="4" t="s">
        <v>251</v>
      </c>
      <c r="M7" s="4" t="s">
        <v>288</v>
      </c>
      <c r="N7" s="4" t="s">
        <v>39</v>
      </c>
      <c r="O7" s="4"/>
      <c r="P7" s="4"/>
    </row>
    <row r="8" spans="1:16">
      <c r="A8" s="4" t="s">
        <v>289</v>
      </c>
      <c r="B8" s="4" t="s">
        <v>242</v>
      </c>
      <c r="C8" s="4" t="s">
        <v>290</v>
      </c>
      <c r="D8" s="4" t="s">
        <v>276</v>
      </c>
      <c r="E8" s="4" t="s">
        <v>183</v>
      </c>
      <c r="F8" s="4" t="s">
        <v>291</v>
      </c>
      <c r="G8" s="4" t="s">
        <v>246</v>
      </c>
      <c r="H8" s="4" t="s">
        <v>292</v>
      </c>
      <c r="I8" s="4" t="s">
        <v>293</v>
      </c>
      <c r="J8" s="4" t="s">
        <v>294</v>
      </c>
      <c r="K8" s="4" t="s">
        <v>250</v>
      </c>
      <c r="L8" s="4" t="s">
        <v>251</v>
      </c>
      <c r="M8" s="4" t="s">
        <v>295</v>
      </c>
      <c r="N8" s="4" t="s">
        <v>39</v>
      </c>
      <c r="O8" s="4"/>
      <c r="P8" s="4"/>
    </row>
    <row r="9" spans="1:16">
      <c r="A9" s="4" t="s">
        <v>296</v>
      </c>
      <c r="B9" s="4" t="s">
        <v>242</v>
      </c>
      <c r="C9" s="4" t="s">
        <v>297</v>
      </c>
      <c r="D9" s="4" t="s">
        <v>276</v>
      </c>
      <c r="E9" s="4" t="s">
        <v>183</v>
      </c>
      <c r="F9" s="4" t="s">
        <v>298</v>
      </c>
      <c r="G9" s="4" t="s">
        <v>246</v>
      </c>
      <c r="H9" s="4" t="s">
        <v>299</v>
      </c>
      <c r="I9" s="4" t="s">
        <v>300</v>
      </c>
      <c r="J9" s="4" t="s">
        <v>301</v>
      </c>
      <c r="K9" s="4" t="s">
        <v>250</v>
      </c>
      <c r="L9" s="4" t="s">
        <v>251</v>
      </c>
      <c r="M9" s="4" t="s">
        <v>302</v>
      </c>
      <c r="N9" s="4" t="s">
        <v>39</v>
      </c>
      <c r="O9" s="4"/>
      <c r="P9" s="4"/>
    </row>
    <row r="10" spans="1:16">
      <c r="A10" s="4" t="s">
        <v>303</v>
      </c>
      <c r="B10" s="4" t="s">
        <v>30</v>
      </c>
      <c r="C10" s="4" t="s">
        <v>304</v>
      </c>
      <c r="D10" s="4" t="s">
        <v>305</v>
      </c>
      <c r="E10" s="4" t="s">
        <v>183</v>
      </c>
      <c r="F10" s="4" t="s">
        <v>306</v>
      </c>
      <c r="G10" s="4" t="s">
        <v>307</v>
      </c>
      <c r="H10" s="4" t="s">
        <v>308</v>
      </c>
      <c r="I10" s="4" t="s">
        <v>309</v>
      </c>
      <c r="J10" s="4" t="s">
        <v>310</v>
      </c>
      <c r="K10" s="4" t="s">
        <v>311</v>
      </c>
      <c r="L10" s="4" t="s">
        <v>312</v>
      </c>
      <c r="M10" s="4" t="s">
        <v>313</v>
      </c>
      <c r="N10" s="4" t="s">
        <v>314</v>
      </c>
      <c r="O10" s="4"/>
      <c r="P10" s="4"/>
    </row>
    <row r="11" spans="1:16">
      <c r="A11" s="4" t="s">
        <v>315</v>
      </c>
      <c r="B11" s="4" t="s">
        <v>30</v>
      </c>
      <c r="C11" s="4" t="s">
        <v>316</v>
      </c>
      <c r="D11" s="4" t="s">
        <v>305</v>
      </c>
      <c r="E11" s="4" t="s">
        <v>183</v>
      </c>
      <c r="F11" s="4" t="s">
        <v>306</v>
      </c>
      <c r="G11" s="4" t="s">
        <v>317</v>
      </c>
      <c r="H11" s="4" t="s">
        <v>318</v>
      </c>
      <c r="I11" s="4" t="s">
        <v>319</v>
      </c>
      <c r="J11" s="4" t="s">
        <v>310</v>
      </c>
      <c r="K11" s="4" t="s">
        <v>311</v>
      </c>
      <c r="L11" s="4" t="s">
        <v>312</v>
      </c>
      <c r="M11" s="4" t="s">
        <v>320</v>
      </c>
      <c r="N11" s="4" t="s">
        <v>314</v>
      </c>
      <c r="O11" s="4"/>
      <c r="P11" s="4"/>
    </row>
    <row r="12" spans="1:16">
      <c r="A12" s="4" t="s">
        <v>321</v>
      </c>
      <c r="B12" s="4" t="s">
        <v>30</v>
      </c>
      <c r="C12" s="4" t="s">
        <v>322</v>
      </c>
      <c r="D12" s="4" t="s">
        <v>323</v>
      </c>
      <c r="E12" s="4" t="s">
        <v>183</v>
      </c>
      <c r="F12" s="4" t="s">
        <v>306</v>
      </c>
      <c r="G12" s="4" t="s">
        <v>324</v>
      </c>
      <c r="H12" s="4" t="s">
        <v>325</v>
      </c>
      <c r="I12" s="4" t="s">
        <v>326</v>
      </c>
      <c r="J12" s="4" t="s">
        <v>310</v>
      </c>
      <c r="K12" s="4" t="s">
        <v>311</v>
      </c>
      <c r="L12" s="4" t="s">
        <v>312</v>
      </c>
      <c r="M12" s="4" t="s">
        <v>327</v>
      </c>
      <c r="N12" s="4" t="s">
        <v>314</v>
      </c>
      <c r="O12" s="4"/>
      <c r="P12" s="4"/>
    </row>
    <row r="13" spans="1:16">
      <c r="A13" s="4" t="s">
        <v>328</v>
      </c>
      <c r="B13" s="4" t="s">
        <v>30</v>
      </c>
      <c r="C13" s="4" t="s">
        <v>329</v>
      </c>
      <c r="D13" s="4" t="s">
        <v>330</v>
      </c>
      <c r="E13" s="4" t="s">
        <v>183</v>
      </c>
      <c r="F13" s="4" t="s">
        <v>331</v>
      </c>
      <c r="G13" s="4" t="s">
        <v>332</v>
      </c>
      <c r="H13" s="4" t="s">
        <v>333</v>
      </c>
      <c r="I13" s="4" t="s">
        <v>334</v>
      </c>
      <c r="J13" s="4" t="s">
        <v>310</v>
      </c>
      <c r="K13" s="4" t="s">
        <v>311</v>
      </c>
      <c r="L13" s="4" t="s">
        <v>312</v>
      </c>
      <c r="M13" s="4" t="s">
        <v>335</v>
      </c>
      <c r="N13" s="4" t="s">
        <v>314</v>
      </c>
      <c r="O13" s="4"/>
      <c r="P13" s="4"/>
    </row>
    <row r="14" spans="1:16">
      <c r="A14" s="4" t="s">
        <v>336</v>
      </c>
      <c r="B14" s="4" t="s">
        <v>36</v>
      </c>
      <c r="C14" s="4" t="s">
        <v>337</v>
      </c>
      <c r="D14" s="4" t="s">
        <v>338</v>
      </c>
      <c r="E14" s="4" t="s">
        <v>194</v>
      </c>
      <c r="F14" s="4" t="s">
        <v>339</v>
      </c>
      <c r="G14" s="4" t="s">
        <v>340</v>
      </c>
      <c r="H14" s="4" t="s">
        <v>341</v>
      </c>
      <c r="I14" s="4" t="s">
        <v>342</v>
      </c>
      <c r="J14" s="4" t="s">
        <v>310</v>
      </c>
      <c r="K14" s="4" t="s">
        <v>311</v>
      </c>
      <c r="L14" s="4" t="s">
        <v>312</v>
      </c>
      <c r="M14" s="4" t="s">
        <v>343</v>
      </c>
      <c r="N14" s="4" t="s">
        <v>314</v>
      </c>
      <c r="O14" s="4"/>
      <c r="P14" s="4"/>
    </row>
    <row r="15" spans="1:16">
      <c r="A15" s="4" t="s">
        <v>344</v>
      </c>
      <c r="B15" s="4" t="s">
        <v>345</v>
      </c>
      <c r="C15" s="4" t="s">
        <v>346</v>
      </c>
      <c r="D15" s="4" t="s">
        <v>305</v>
      </c>
      <c r="E15" s="4" t="s">
        <v>183</v>
      </c>
      <c r="F15" s="4" t="s">
        <v>347</v>
      </c>
      <c r="G15" s="4" t="s">
        <v>348</v>
      </c>
      <c r="H15" s="4" t="s">
        <v>349</v>
      </c>
      <c r="I15" s="4" t="s">
        <v>350</v>
      </c>
      <c r="J15" s="4" t="s">
        <v>310</v>
      </c>
      <c r="K15" s="4" t="s">
        <v>311</v>
      </c>
      <c r="L15" s="4" t="s">
        <v>312</v>
      </c>
      <c r="M15" s="4" t="s">
        <v>351</v>
      </c>
      <c r="N15" s="4" t="s">
        <v>314</v>
      </c>
      <c r="O15" s="4"/>
      <c r="P15" s="4"/>
    </row>
    <row r="16" spans="1:16">
      <c r="A16" s="4" t="s">
        <v>352</v>
      </c>
      <c r="B16" s="4" t="s">
        <v>345</v>
      </c>
      <c r="C16" s="4" t="s">
        <v>353</v>
      </c>
      <c r="D16" s="4" t="s">
        <v>323</v>
      </c>
      <c r="E16" s="4" t="s">
        <v>183</v>
      </c>
      <c r="F16" s="4" t="s">
        <v>354</v>
      </c>
      <c r="G16" s="4" t="s">
        <v>355</v>
      </c>
      <c r="H16" s="4" t="s">
        <v>356</v>
      </c>
      <c r="I16" s="4" t="s">
        <v>357</v>
      </c>
      <c r="J16" s="4" t="s">
        <v>310</v>
      </c>
      <c r="K16" s="4" t="s">
        <v>311</v>
      </c>
      <c r="L16" s="4" t="s">
        <v>312</v>
      </c>
      <c r="M16" s="4" t="s">
        <v>358</v>
      </c>
      <c r="N16" s="4" t="s">
        <v>314</v>
      </c>
      <c r="O16" s="4"/>
      <c r="P16" s="4"/>
    </row>
    <row r="17" spans="1:16">
      <c r="A17" s="4" t="s">
        <v>359</v>
      </c>
      <c r="B17" s="4" t="s">
        <v>345</v>
      </c>
      <c r="C17" s="4" t="s">
        <v>360</v>
      </c>
      <c r="D17" s="4" t="s">
        <v>338</v>
      </c>
      <c r="E17" s="4" t="s">
        <v>194</v>
      </c>
      <c r="F17" s="4" t="s">
        <v>361</v>
      </c>
      <c r="G17" s="4" t="s">
        <v>362</v>
      </c>
      <c r="H17" s="4" t="s">
        <v>363</v>
      </c>
      <c r="I17" s="4" t="s">
        <v>364</v>
      </c>
      <c r="J17" s="4" t="s">
        <v>310</v>
      </c>
      <c r="K17" s="4" t="s">
        <v>311</v>
      </c>
      <c r="L17" s="4" t="s">
        <v>312</v>
      </c>
      <c r="M17" s="4" t="s">
        <v>365</v>
      </c>
      <c r="N17" s="4" t="s">
        <v>314</v>
      </c>
      <c r="O17" s="4"/>
      <c r="P17" s="4"/>
    </row>
    <row r="18" spans="1:16">
      <c r="A18" s="4" t="s">
        <v>366</v>
      </c>
      <c r="B18" s="4" t="s">
        <v>345</v>
      </c>
      <c r="C18" s="4" t="s">
        <v>367</v>
      </c>
      <c r="D18" s="4" t="s">
        <v>244</v>
      </c>
      <c r="E18" s="4" t="s">
        <v>194</v>
      </c>
      <c r="F18" s="4" t="s">
        <v>361</v>
      </c>
      <c r="G18" s="4" t="s">
        <v>368</v>
      </c>
      <c r="H18" s="4" t="s">
        <v>369</v>
      </c>
      <c r="I18" s="4" t="s">
        <v>370</v>
      </c>
      <c r="J18" s="4" t="s">
        <v>310</v>
      </c>
      <c r="K18" s="4" t="s">
        <v>311</v>
      </c>
      <c r="L18" s="4" t="s">
        <v>312</v>
      </c>
      <c r="M18" s="4" t="s">
        <v>371</v>
      </c>
      <c r="N18" s="4" t="s">
        <v>314</v>
      </c>
      <c r="O18" s="4"/>
      <c r="P18" s="4"/>
    </row>
    <row r="19" spans="1:16">
      <c r="A19" s="4" t="s">
        <v>372</v>
      </c>
      <c r="B19" s="4" t="s">
        <v>345</v>
      </c>
      <c r="C19" s="4" t="s">
        <v>373</v>
      </c>
      <c r="D19" s="4" t="s">
        <v>305</v>
      </c>
      <c r="E19" s="4" t="s">
        <v>183</v>
      </c>
      <c r="F19" s="4" t="s">
        <v>374</v>
      </c>
      <c r="G19" s="4" t="s">
        <v>375</v>
      </c>
      <c r="H19" s="4" t="s">
        <v>376</v>
      </c>
      <c r="I19" s="4" t="s">
        <v>377</v>
      </c>
      <c r="J19" s="4" t="s">
        <v>310</v>
      </c>
      <c r="K19" s="4" t="s">
        <v>311</v>
      </c>
      <c r="L19" s="4" t="s">
        <v>312</v>
      </c>
      <c r="M19" s="4" t="s">
        <v>378</v>
      </c>
      <c r="N19" s="4" t="s">
        <v>314</v>
      </c>
      <c r="O19" s="4"/>
      <c r="P19" s="4"/>
    </row>
    <row r="20" spans="1:16">
      <c r="A20" s="4" t="s">
        <v>379</v>
      </c>
      <c r="B20" s="4" t="s">
        <v>345</v>
      </c>
      <c r="C20" s="4" t="s">
        <v>380</v>
      </c>
      <c r="D20" s="4" t="s">
        <v>323</v>
      </c>
      <c r="E20" s="4" t="s">
        <v>183</v>
      </c>
      <c r="F20" s="4" t="s">
        <v>381</v>
      </c>
      <c r="G20" s="4" t="s">
        <v>382</v>
      </c>
      <c r="H20" s="4" t="s">
        <v>376</v>
      </c>
      <c r="I20" s="4" t="s">
        <v>383</v>
      </c>
      <c r="J20" s="4" t="s">
        <v>310</v>
      </c>
      <c r="K20" s="4" t="s">
        <v>311</v>
      </c>
      <c r="L20" s="4" t="s">
        <v>312</v>
      </c>
      <c r="M20" s="4" t="s">
        <v>384</v>
      </c>
      <c r="N20" s="4" t="s">
        <v>314</v>
      </c>
      <c r="O20" s="4"/>
      <c r="P20" s="4"/>
    </row>
    <row r="21" spans="1:16">
      <c r="A21" s="4" t="s">
        <v>385</v>
      </c>
      <c r="B21" s="4" t="s">
        <v>345</v>
      </c>
      <c r="C21" s="4" t="s">
        <v>386</v>
      </c>
      <c r="D21" s="4" t="s">
        <v>305</v>
      </c>
      <c r="E21" s="4" t="s">
        <v>183</v>
      </c>
      <c r="F21" s="4" t="s">
        <v>387</v>
      </c>
      <c r="G21" s="4" t="s">
        <v>388</v>
      </c>
      <c r="H21" s="4" t="s">
        <v>389</v>
      </c>
      <c r="I21" s="4" t="s">
        <v>390</v>
      </c>
      <c r="J21" s="4" t="s">
        <v>310</v>
      </c>
      <c r="K21" s="4" t="s">
        <v>311</v>
      </c>
      <c r="L21" s="4" t="s">
        <v>312</v>
      </c>
      <c r="M21" s="4" t="s">
        <v>391</v>
      </c>
      <c r="N21" s="4" t="s">
        <v>314</v>
      </c>
      <c r="O21" s="4"/>
      <c r="P21" s="4"/>
    </row>
    <row r="22" spans="1:16">
      <c r="A22" s="4" t="s">
        <v>392</v>
      </c>
      <c r="B22" s="4" t="s">
        <v>47</v>
      </c>
      <c r="C22" s="4" t="s">
        <v>393</v>
      </c>
      <c r="D22" s="4" t="s">
        <v>305</v>
      </c>
      <c r="E22" s="4" t="s">
        <v>194</v>
      </c>
      <c r="F22" s="4" t="s">
        <v>394</v>
      </c>
      <c r="G22" s="4" t="s">
        <v>395</v>
      </c>
      <c r="H22" s="4" t="s">
        <v>396</v>
      </c>
      <c r="I22" s="4" t="s">
        <v>397</v>
      </c>
      <c r="J22" s="4" t="s">
        <v>310</v>
      </c>
      <c r="K22" s="4" t="s">
        <v>311</v>
      </c>
      <c r="L22" s="4" t="s">
        <v>312</v>
      </c>
      <c r="M22" s="4" t="s">
        <v>398</v>
      </c>
      <c r="N22" s="4" t="s">
        <v>314</v>
      </c>
      <c r="O22" s="4"/>
      <c r="P22" s="4"/>
    </row>
    <row r="23" spans="1:16">
      <c r="A23" s="4" t="s">
        <v>399</v>
      </c>
      <c r="B23" s="4" t="s">
        <v>47</v>
      </c>
      <c r="C23" s="4" t="s">
        <v>400</v>
      </c>
      <c r="D23" s="4" t="s">
        <v>305</v>
      </c>
      <c r="E23" s="4" t="s">
        <v>194</v>
      </c>
      <c r="F23" s="4" t="s">
        <v>394</v>
      </c>
      <c r="G23" s="4" t="s">
        <v>401</v>
      </c>
      <c r="H23" s="4" t="s">
        <v>402</v>
      </c>
      <c r="I23" s="4" t="s">
        <v>403</v>
      </c>
      <c r="J23" s="4" t="s">
        <v>310</v>
      </c>
      <c r="K23" s="4" t="s">
        <v>311</v>
      </c>
      <c r="L23" s="4" t="s">
        <v>312</v>
      </c>
      <c r="M23" s="4" t="s">
        <v>404</v>
      </c>
      <c r="N23" s="4" t="s">
        <v>314</v>
      </c>
      <c r="O23" s="4"/>
      <c r="P23" s="4"/>
    </row>
    <row r="24" spans="1:16">
      <c r="A24" s="4" t="s">
        <v>405</v>
      </c>
      <c r="B24" s="4" t="s">
        <v>47</v>
      </c>
      <c r="C24" s="4" t="s">
        <v>406</v>
      </c>
      <c r="D24" s="4" t="s">
        <v>323</v>
      </c>
      <c r="E24" s="4" t="s">
        <v>194</v>
      </c>
      <c r="F24" s="4" t="s">
        <v>394</v>
      </c>
      <c r="G24" s="4" t="s">
        <v>407</v>
      </c>
      <c r="H24" s="4" t="s">
        <v>408</v>
      </c>
      <c r="I24" s="4" t="s">
        <v>409</v>
      </c>
      <c r="J24" s="4" t="s">
        <v>310</v>
      </c>
      <c r="K24" s="4" t="s">
        <v>311</v>
      </c>
      <c r="L24" s="4" t="s">
        <v>312</v>
      </c>
      <c r="M24" s="4" t="s">
        <v>410</v>
      </c>
      <c r="N24" s="4" t="s">
        <v>314</v>
      </c>
      <c r="O24" s="4"/>
      <c r="P24" s="4"/>
    </row>
    <row r="25" spans="1:16">
      <c r="A25" s="4" t="s">
        <v>411</v>
      </c>
      <c r="B25" s="4" t="s">
        <v>47</v>
      </c>
      <c r="C25" s="4" t="s">
        <v>412</v>
      </c>
      <c r="D25" s="4" t="s">
        <v>330</v>
      </c>
      <c r="E25" s="4" t="s">
        <v>183</v>
      </c>
      <c r="F25" s="4" t="s">
        <v>413</v>
      </c>
      <c r="G25" s="4" t="s">
        <v>414</v>
      </c>
      <c r="H25" s="4" t="s">
        <v>415</v>
      </c>
      <c r="I25" s="4" t="s">
        <v>416</v>
      </c>
      <c r="J25" s="4" t="s">
        <v>310</v>
      </c>
      <c r="K25" s="4" t="s">
        <v>311</v>
      </c>
      <c r="L25" s="4" t="s">
        <v>312</v>
      </c>
      <c r="M25" s="4" t="s">
        <v>417</v>
      </c>
      <c r="N25" s="4" t="s">
        <v>314</v>
      </c>
      <c r="O25" s="4"/>
      <c r="P25" s="4"/>
    </row>
    <row r="26" spans="1:16">
      <c r="A26" s="4" t="s">
        <v>418</v>
      </c>
      <c r="B26" s="4" t="s">
        <v>50</v>
      </c>
      <c r="C26" s="4" t="s">
        <v>419</v>
      </c>
      <c r="D26" s="4" t="s">
        <v>276</v>
      </c>
      <c r="E26" s="4" t="s">
        <v>183</v>
      </c>
      <c r="F26" s="4" t="s">
        <v>420</v>
      </c>
      <c r="G26" s="4" t="s">
        <v>421</v>
      </c>
      <c r="H26" s="4" t="s">
        <v>422</v>
      </c>
      <c r="I26" s="4" t="s">
        <v>423</v>
      </c>
      <c r="J26" s="4" t="s">
        <v>310</v>
      </c>
      <c r="K26" s="4" t="s">
        <v>311</v>
      </c>
      <c r="L26" s="4" t="s">
        <v>312</v>
      </c>
      <c r="M26" s="4" t="s">
        <v>424</v>
      </c>
      <c r="N26" s="4" t="s">
        <v>314</v>
      </c>
      <c r="O26" s="4"/>
      <c r="P26" s="4"/>
    </row>
    <row r="27" spans="1:16">
      <c r="A27" s="4" t="s">
        <v>425</v>
      </c>
      <c r="B27" s="4" t="s">
        <v>50</v>
      </c>
      <c r="C27" s="4" t="s">
        <v>426</v>
      </c>
      <c r="D27" s="4" t="s">
        <v>427</v>
      </c>
      <c r="E27" s="4" t="s">
        <v>194</v>
      </c>
      <c r="F27" s="4" t="s">
        <v>428</v>
      </c>
      <c r="G27" s="4" t="s">
        <v>429</v>
      </c>
      <c r="H27" s="4" t="s">
        <v>430</v>
      </c>
      <c r="I27" s="4" t="s">
        <v>431</v>
      </c>
      <c r="J27" s="4" t="s">
        <v>310</v>
      </c>
      <c r="K27" s="4" t="s">
        <v>311</v>
      </c>
      <c r="L27" s="4" t="s">
        <v>312</v>
      </c>
      <c r="M27" s="4" t="s">
        <v>432</v>
      </c>
      <c r="N27" s="4" t="s">
        <v>314</v>
      </c>
      <c r="O27" s="4"/>
      <c r="P27" s="4"/>
    </row>
    <row r="28" spans="1:16">
      <c r="A28" s="4" t="s">
        <v>433</v>
      </c>
      <c r="B28" s="4" t="s">
        <v>70</v>
      </c>
      <c r="C28" s="4" t="s">
        <v>434</v>
      </c>
      <c r="D28" s="4" t="s">
        <v>323</v>
      </c>
      <c r="E28" s="4" t="s">
        <v>194</v>
      </c>
      <c r="F28" s="4" t="s">
        <v>435</v>
      </c>
      <c r="G28" s="4" t="s">
        <v>436</v>
      </c>
      <c r="H28" s="4" t="s">
        <v>437</v>
      </c>
      <c r="I28" s="4" t="s">
        <v>438</v>
      </c>
      <c r="J28" s="4" t="s">
        <v>310</v>
      </c>
      <c r="K28" s="4" t="s">
        <v>311</v>
      </c>
      <c r="L28" s="4" t="s">
        <v>312</v>
      </c>
      <c r="M28" s="4" t="s">
        <v>439</v>
      </c>
      <c r="N28" s="4" t="s">
        <v>314</v>
      </c>
      <c r="O28" s="4"/>
      <c r="P28" s="4"/>
    </row>
    <row r="29" spans="1:16">
      <c r="A29" s="4" t="s">
        <v>440</v>
      </c>
      <c r="B29" s="4" t="s">
        <v>125</v>
      </c>
      <c r="C29" s="4" t="s">
        <v>441</v>
      </c>
      <c r="D29" s="4" t="s">
        <v>244</v>
      </c>
      <c r="E29" s="4" t="s">
        <v>194</v>
      </c>
      <c r="F29" s="4" t="s">
        <v>442</v>
      </c>
      <c r="G29" s="4" t="s">
        <v>443</v>
      </c>
      <c r="H29" s="4" t="s">
        <v>444</v>
      </c>
      <c r="I29" s="4" t="s">
        <v>445</v>
      </c>
      <c r="J29" s="4" t="s">
        <v>310</v>
      </c>
      <c r="K29" s="4" t="s">
        <v>311</v>
      </c>
      <c r="L29" s="4" t="s">
        <v>312</v>
      </c>
      <c r="M29" s="4" t="s">
        <v>446</v>
      </c>
      <c r="N29" s="4" t="s">
        <v>314</v>
      </c>
      <c r="O29" s="4"/>
      <c r="P29" s="4"/>
    </row>
    <row r="30" spans="1:16">
      <c r="A30" s="4" t="s">
        <v>447</v>
      </c>
      <c r="B30" s="4" t="s">
        <v>125</v>
      </c>
      <c r="C30" s="4" t="s">
        <v>448</v>
      </c>
      <c r="D30" s="4" t="s">
        <v>244</v>
      </c>
      <c r="E30" s="4" t="s">
        <v>183</v>
      </c>
      <c r="F30" s="4" t="s">
        <v>449</v>
      </c>
      <c r="G30" s="4" t="s">
        <v>450</v>
      </c>
      <c r="H30" s="4" t="s">
        <v>451</v>
      </c>
      <c r="I30" s="4" t="s">
        <v>452</v>
      </c>
      <c r="J30" s="4" t="s">
        <v>310</v>
      </c>
      <c r="K30" s="4" t="s">
        <v>311</v>
      </c>
      <c r="L30" s="4" t="s">
        <v>312</v>
      </c>
      <c r="M30" s="4" t="s">
        <v>453</v>
      </c>
      <c r="N30" s="4" t="s">
        <v>314</v>
      </c>
      <c r="O30" s="4"/>
      <c r="P30" s="4"/>
    </row>
    <row r="31" spans="1:16">
      <c r="A31" s="4" t="s">
        <v>454</v>
      </c>
      <c r="B31" s="4" t="s">
        <v>125</v>
      </c>
      <c r="C31" s="4" t="s">
        <v>455</v>
      </c>
      <c r="D31" s="4" t="s">
        <v>338</v>
      </c>
      <c r="E31" s="4" t="s">
        <v>183</v>
      </c>
      <c r="F31" s="4" t="s">
        <v>456</v>
      </c>
      <c r="G31" s="4" t="s">
        <v>457</v>
      </c>
      <c r="H31" s="4" t="s">
        <v>458</v>
      </c>
      <c r="I31" s="4" t="s">
        <v>459</v>
      </c>
      <c r="J31" s="4" t="s">
        <v>310</v>
      </c>
      <c r="K31" s="4" t="s">
        <v>311</v>
      </c>
      <c r="L31" s="4" t="s">
        <v>312</v>
      </c>
      <c r="M31" s="4" t="s">
        <v>460</v>
      </c>
      <c r="N31" s="4" t="s">
        <v>314</v>
      </c>
      <c r="O31" s="4"/>
      <c r="P31" s="4"/>
    </row>
    <row r="32" spans="1:16">
      <c r="A32" s="4" t="s">
        <v>461</v>
      </c>
      <c r="B32" s="4" t="s">
        <v>462</v>
      </c>
      <c r="C32" s="4" t="s">
        <v>463</v>
      </c>
      <c r="D32" s="4" t="s">
        <v>305</v>
      </c>
      <c r="E32" s="4" t="s">
        <v>194</v>
      </c>
      <c r="F32" s="4" t="s">
        <v>464</v>
      </c>
      <c r="G32" s="4" t="s">
        <v>465</v>
      </c>
      <c r="H32" s="4" t="s">
        <v>466</v>
      </c>
      <c r="I32" s="4" t="s">
        <v>467</v>
      </c>
      <c r="J32" s="4" t="s">
        <v>310</v>
      </c>
      <c r="K32" s="4" t="s">
        <v>311</v>
      </c>
      <c r="L32" s="4" t="s">
        <v>312</v>
      </c>
      <c r="M32" s="4" t="s">
        <v>468</v>
      </c>
      <c r="N32" s="4" t="s">
        <v>314</v>
      </c>
      <c r="O32" s="4"/>
      <c r="P32" s="4"/>
    </row>
    <row r="33" spans="1:16">
      <c r="A33" s="4" t="s">
        <v>469</v>
      </c>
      <c r="B33" s="4" t="s">
        <v>462</v>
      </c>
      <c r="C33" s="4" t="s">
        <v>470</v>
      </c>
      <c r="D33" s="4" t="s">
        <v>305</v>
      </c>
      <c r="E33" s="4" t="s">
        <v>194</v>
      </c>
      <c r="F33" s="4" t="s">
        <v>464</v>
      </c>
      <c r="G33" s="4" t="s">
        <v>471</v>
      </c>
      <c r="H33" s="4" t="s">
        <v>472</v>
      </c>
      <c r="I33" s="4" t="s">
        <v>473</v>
      </c>
      <c r="J33" s="4" t="s">
        <v>310</v>
      </c>
      <c r="K33" s="4" t="s">
        <v>311</v>
      </c>
      <c r="L33" s="4" t="s">
        <v>312</v>
      </c>
      <c r="M33" s="4" t="s">
        <v>474</v>
      </c>
      <c r="N33" s="4" t="s">
        <v>314</v>
      </c>
      <c r="O33" s="4"/>
      <c r="P33" s="4"/>
    </row>
    <row r="34" spans="1:16">
      <c r="A34" s="4" t="s">
        <v>475</v>
      </c>
      <c r="B34" s="4" t="s">
        <v>462</v>
      </c>
      <c r="C34" s="4" t="s">
        <v>476</v>
      </c>
      <c r="D34" s="4" t="s">
        <v>338</v>
      </c>
      <c r="E34" s="4" t="s">
        <v>194</v>
      </c>
      <c r="F34" s="4" t="s">
        <v>477</v>
      </c>
      <c r="G34" s="4" t="s">
        <v>478</v>
      </c>
      <c r="H34" s="4" t="s">
        <v>472</v>
      </c>
      <c r="I34" s="4" t="s">
        <v>479</v>
      </c>
      <c r="J34" s="4" t="s">
        <v>310</v>
      </c>
      <c r="K34" s="4" t="s">
        <v>311</v>
      </c>
      <c r="L34" s="4" t="s">
        <v>312</v>
      </c>
      <c r="M34" s="4" t="s">
        <v>480</v>
      </c>
      <c r="N34" s="4" t="s">
        <v>314</v>
      </c>
      <c r="O34" s="4"/>
      <c r="P34" s="4"/>
    </row>
    <row r="35" spans="1:16">
      <c r="A35" s="4" t="s">
        <v>481</v>
      </c>
      <c r="B35" s="4" t="s">
        <v>462</v>
      </c>
      <c r="C35" s="4" t="s">
        <v>482</v>
      </c>
      <c r="D35" s="4" t="s">
        <v>323</v>
      </c>
      <c r="E35" s="4" t="s">
        <v>194</v>
      </c>
      <c r="F35" s="4" t="s">
        <v>483</v>
      </c>
      <c r="G35" s="4" t="s">
        <v>484</v>
      </c>
      <c r="H35" s="4" t="s">
        <v>485</v>
      </c>
      <c r="I35" s="4" t="s">
        <v>486</v>
      </c>
      <c r="J35" s="4" t="s">
        <v>310</v>
      </c>
      <c r="K35" s="4" t="s">
        <v>311</v>
      </c>
      <c r="L35" s="4" t="s">
        <v>312</v>
      </c>
      <c r="M35" s="4" t="s">
        <v>487</v>
      </c>
      <c r="N35" s="4" t="s">
        <v>314</v>
      </c>
      <c r="O35" s="4"/>
      <c r="P35" s="4"/>
    </row>
    <row r="36" spans="1:16">
      <c r="A36" s="4" t="s">
        <v>488</v>
      </c>
      <c r="B36" s="4" t="s">
        <v>75</v>
      </c>
      <c r="C36" s="4" t="s">
        <v>489</v>
      </c>
      <c r="D36" s="4" t="s">
        <v>305</v>
      </c>
      <c r="E36" s="4" t="s">
        <v>183</v>
      </c>
      <c r="F36" s="4" t="s">
        <v>490</v>
      </c>
      <c r="G36" s="4" t="s">
        <v>491</v>
      </c>
      <c r="H36" s="4" t="s">
        <v>492</v>
      </c>
      <c r="I36" s="4" t="s">
        <v>493</v>
      </c>
      <c r="J36" s="4" t="s">
        <v>310</v>
      </c>
      <c r="K36" s="4" t="s">
        <v>311</v>
      </c>
      <c r="L36" s="4" t="s">
        <v>312</v>
      </c>
      <c r="M36" s="4" t="s">
        <v>494</v>
      </c>
      <c r="N36" s="4" t="s">
        <v>314</v>
      </c>
      <c r="O36" s="4"/>
      <c r="P36" s="4"/>
    </row>
    <row r="37" spans="1:16">
      <c r="A37" s="4" t="s">
        <v>495</v>
      </c>
      <c r="B37" s="4" t="s">
        <v>75</v>
      </c>
      <c r="C37" s="4" t="s">
        <v>496</v>
      </c>
      <c r="D37" s="4" t="s">
        <v>338</v>
      </c>
      <c r="E37" s="4" t="s">
        <v>183</v>
      </c>
      <c r="F37" s="4" t="s">
        <v>497</v>
      </c>
      <c r="G37" s="4" t="s">
        <v>498</v>
      </c>
      <c r="H37" s="4" t="s">
        <v>499</v>
      </c>
      <c r="I37" s="4" t="s">
        <v>500</v>
      </c>
      <c r="J37" s="4" t="s">
        <v>310</v>
      </c>
      <c r="K37" s="4" t="s">
        <v>311</v>
      </c>
      <c r="L37" s="4" t="s">
        <v>312</v>
      </c>
      <c r="M37" s="4" t="s">
        <v>501</v>
      </c>
      <c r="N37" s="4" t="s">
        <v>314</v>
      </c>
      <c r="O37" s="4"/>
      <c r="P37" s="4"/>
    </row>
    <row r="38" spans="1:16">
      <c r="A38" s="4" t="s">
        <v>502</v>
      </c>
      <c r="B38" s="4" t="s">
        <v>75</v>
      </c>
      <c r="C38" s="4" t="s">
        <v>503</v>
      </c>
      <c r="D38" s="4" t="s">
        <v>338</v>
      </c>
      <c r="E38" s="4" t="s">
        <v>194</v>
      </c>
      <c r="F38" s="4" t="s">
        <v>504</v>
      </c>
      <c r="G38" s="4" t="s">
        <v>505</v>
      </c>
      <c r="H38" s="4" t="s">
        <v>506</v>
      </c>
      <c r="I38" s="4" t="s">
        <v>507</v>
      </c>
      <c r="J38" s="4" t="s">
        <v>310</v>
      </c>
      <c r="K38" s="4" t="s">
        <v>311</v>
      </c>
      <c r="L38" s="4" t="s">
        <v>312</v>
      </c>
      <c r="M38" s="4" t="s">
        <v>508</v>
      </c>
      <c r="N38" s="4" t="s">
        <v>314</v>
      </c>
      <c r="O38" s="4"/>
      <c r="P38" s="4"/>
    </row>
    <row r="39" spans="1:16">
      <c r="A39" s="4" t="s">
        <v>509</v>
      </c>
      <c r="B39" s="4" t="s">
        <v>75</v>
      </c>
      <c r="C39" s="4" t="s">
        <v>510</v>
      </c>
      <c r="D39" s="4" t="s">
        <v>305</v>
      </c>
      <c r="E39" s="4" t="s">
        <v>183</v>
      </c>
      <c r="F39" s="4" t="s">
        <v>511</v>
      </c>
      <c r="G39" s="4" t="s">
        <v>512</v>
      </c>
      <c r="H39" s="4" t="s">
        <v>513</v>
      </c>
      <c r="I39" s="4" t="s">
        <v>514</v>
      </c>
      <c r="J39" s="4" t="s">
        <v>310</v>
      </c>
      <c r="K39" s="4" t="s">
        <v>311</v>
      </c>
      <c r="L39" s="4" t="s">
        <v>312</v>
      </c>
      <c r="M39" s="4" t="s">
        <v>515</v>
      </c>
      <c r="N39" s="4" t="s">
        <v>314</v>
      </c>
      <c r="O39" s="4"/>
      <c r="P39" s="4"/>
    </row>
    <row r="40" spans="1:16">
      <c r="A40" s="4" t="s">
        <v>516</v>
      </c>
      <c r="B40" s="4" t="s">
        <v>75</v>
      </c>
      <c r="C40" s="4" t="s">
        <v>517</v>
      </c>
      <c r="D40" s="4" t="s">
        <v>276</v>
      </c>
      <c r="E40" s="4" t="s">
        <v>194</v>
      </c>
      <c r="F40" s="4" t="s">
        <v>518</v>
      </c>
      <c r="G40" s="4" t="s">
        <v>519</v>
      </c>
      <c r="H40" s="4" t="s">
        <v>520</v>
      </c>
      <c r="I40" s="4" t="s">
        <v>521</v>
      </c>
      <c r="J40" s="4" t="s">
        <v>310</v>
      </c>
      <c r="K40" s="4" t="s">
        <v>311</v>
      </c>
      <c r="L40" s="4" t="s">
        <v>312</v>
      </c>
      <c r="M40" s="4" t="s">
        <v>522</v>
      </c>
      <c r="N40" s="4" t="s">
        <v>314</v>
      </c>
      <c r="O40" s="4"/>
      <c r="P40" s="4"/>
    </row>
    <row r="41" spans="1:16">
      <c r="A41" s="4" t="s">
        <v>523</v>
      </c>
      <c r="B41" s="4" t="s">
        <v>75</v>
      </c>
      <c r="C41" s="4" t="s">
        <v>524</v>
      </c>
      <c r="D41" s="4" t="s">
        <v>323</v>
      </c>
      <c r="E41" s="4" t="s">
        <v>194</v>
      </c>
      <c r="F41" s="4" t="s">
        <v>525</v>
      </c>
      <c r="G41" s="4" t="s">
        <v>526</v>
      </c>
      <c r="H41" s="4" t="s">
        <v>527</v>
      </c>
      <c r="I41" s="4" t="s">
        <v>528</v>
      </c>
      <c r="J41" s="4" t="s">
        <v>310</v>
      </c>
      <c r="K41" s="4" t="s">
        <v>311</v>
      </c>
      <c r="L41" s="4" t="s">
        <v>312</v>
      </c>
      <c r="M41" s="4" t="s">
        <v>529</v>
      </c>
      <c r="N41" s="4" t="s">
        <v>314</v>
      </c>
      <c r="O41" s="4"/>
      <c r="P41" s="4"/>
    </row>
    <row r="42" spans="1:16">
      <c r="A42" s="4" t="s">
        <v>530</v>
      </c>
      <c r="B42" s="4" t="s">
        <v>531</v>
      </c>
      <c r="C42" s="4" t="s">
        <v>532</v>
      </c>
      <c r="D42" s="4" t="s">
        <v>305</v>
      </c>
      <c r="E42" s="4" t="s">
        <v>183</v>
      </c>
      <c r="F42" s="4" t="s">
        <v>533</v>
      </c>
      <c r="G42" s="4" t="s">
        <v>307</v>
      </c>
      <c r="H42" s="4" t="s">
        <v>534</v>
      </c>
      <c r="I42" s="4" t="s">
        <v>535</v>
      </c>
      <c r="J42" s="4" t="s">
        <v>310</v>
      </c>
      <c r="K42" s="4" t="s">
        <v>311</v>
      </c>
      <c r="L42" s="4" t="s">
        <v>312</v>
      </c>
      <c r="M42" s="4" t="s">
        <v>536</v>
      </c>
      <c r="N42" s="4" t="s">
        <v>314</v>
      </c>
      <c r="O42" s="4"/>
      <c r="P42" s="4"/>
    </row>
    <row r="43" spans="1:16">
      <c r="A43" s="4" t="s">
        <v>537</v>
      </c>
      <c r="B43" s="4" t="s">
        <v>531</v>
      </c>
      <c r="C43" s="4" t="s">
        <v>538</v>
      </c>
      <c r="D43" s="4" t="s">
        <v>323</v>
      </c>
      <c r="E43" s="4" t="s">
        <v>194</v>
      </c>
      <c r="F43" s="4" t="s">
        <v>539</v>
      </c>
      <c r="G43" s="4" t="s">
        <v>324</v>
      </c>
      <c r="H43" s="4" t="s">
        <v>540</v>
      </c>
      <c r="I43" s="4" t="s">
        <v>541</v>
      </c>
      <c r="J43" s="4" t="s">
        <v>310</v>
      </c>
      <c r="K43" s="4" t="s">
        <v>311</v>
      </c>
      <c r="L43" s="4" t="s">
        <v>312</v>
      </c>
      <c r="M43" s="4" t="s">
        <v>542</v>
      </c>
      <c r="N43" s="4" t="s">
        <v>314</v>
      </c>
      <c r="O43" s="4"/>
      <c r="P43" s="4"/>
    </row>
    <row r="44" spans="1:16">
      <c r="A44" s="4" t="s">
        <v>543</v>
      </c>
      <c r="B44" s="4" t="s">
        <v>531</v>
      </c>
      <c r="C44" s="4" t="s">
        <v>544</v>
      </c>
      <c r="D44" s="4" t="s">
        <v>305</v>
      </c>
      <c r="E44" s="4" t="s">
        <v>194</v>
      </c>
      <c r="F44" s="4" t="s">
        <v>545</v>
      </c>
      <c r="G44" s="4" t="s">
        <v>546</v>
      </c>
      <c r="H44" s="4" t="s">
        <v>513</v>
      </c>
      <c r="I44" s="4" t="s">
        <v>547</v>
      </c>
      <c r="J44" s="4" t="s">
        <v>310</v>
      </c>
      <c r="K44" s="4" t="s">
        <v>311</v>
      </c>
      <c r="L44" s="4" t="s">
        <v>312</v>
      </c>
      <c r="M44" s="4" t="s">
        <v>542</v>
      </c>
      <c r="N44" s="4" t="s">
        <v>314</v>
      </c>
      <c r="O44" s="4"/>
      <c r="P44" s="4"/>
    </row>
    <row r="45" spans="1:16">
      <c r="A45" s="4" t="s">
        <v>548</v>
      </c>
      <c r="B45" s="4" t="s">
        <v>549</v>
      </c>
      <c r="C45" s="4" t="s">
        <v>550</v>
      </c>
      <c r="D45" s="4" t="s">
        <v>276</v>
      </c>
      <c r="E45" s="4" t="s">
        <v>183</v>
      </c>
      <c r="F45" s="4" t="s">
        <v>551</v>
      </c>
      <c r="G45" s="4" t="s">
        <v>552</v>
      </c>
      <c r="H45" s="4" t="s">
        <v>553</v>
      </c>
      <c r="I45" s="4" t="s">
        <v>554</v>
      </c>
      <c r="J45" s="4" t="s">
        <v>310</v>
      </c>
      <c r="K45" s="4" t="s">
        <v>311</v>
      </c>
      <c r="L45" s="4" t="s">
        <v>312</v>
      </c>
      <c r="M45" s="4" t="s">
        <v>555</v>
      </c>
      <c r="N45" s="4" t="s">
        <v>314</v>
      </c>
      <c r="O45" s="4"/>
      <c r="P45" s="4"/>
    </row>
    <row r="46" spans="1:16">
      <c r="A46" s="4" t="s">
        <v>556</v>
      </c>
      <c r="B46" s="4" t="s">
        <v>78</v>
      </c>
      <c r="C46" s="4" t="s">
        <v>557</v>
      </c>
      <c r="D46" s="4" t="s">
        <v>276</v>
      </c>
      <c r="E46" s="4" t="s">
        <v>183</v>
      </c>
      <c r="F46" s="4" t="s">
        <v>558</v>
      </c>
      <c r="G46" s="4" t="s">
        <v>559</v>
      </c>
      <c r="H46" s="4" t="s">
        <v>560</v>
      </c>
      <c r="I46" s="4" t="s">
        <v>561</v>
      </c>
      <c r="J46" s="4" t="s">
        <v>310</v>
      </c>
      <c r="K46" s="4" t="s">
        <v>311</v>
      </c>
      <c r="L46" s="4" t="s">
        <v>312</v>
      </c>
      <c r="M46" s="4" t="s">
        <v>562</v>
      </c>
      <c r="N46" s="4" t="s">
        <v>314</v>
      </c>
      <c r="O46" s="4"/>
      <c r="P46" s="4"/>
    </row>
    <row r="47" spans="1:16">
      <c r="A47" s="4" t="s">
        <v>563</v>
      </c>
      <c r="B47" s="4" t="s">
        <v>78</v>
      </c>
      <c r="C47" s="4" t="s">
        <v>564</v>
      </c>
      <c r="D47" s="4" t="s">
        <v>244</v>
      </c>
      <c r="E47" s="4" t="s">
        <v>194</v>
      </c>
      <c r="F47" s="4" t="s">
        <v>565</v>
      </c>
      <c r="G47" s="4" t="s">
        <v>566</v>
      </c>
      <c r="H47" s="4" t="s">
        <v>369</v>
      </c>
      <c r="I47" s="4" t="s">
        <v>567</v>
      </c>
      <c r="J47" s="4" t="s">
        <v>310</v>
      </c>
      <c r="K47" s="4" t="s">
        <v>311</v>
      </c>
      <c r="L47" s="4" t="s">
        <v>312</v>
      </c>
      <c r="M47" s="4" t="s">
        <v>568</v>
      </c>
      <c r="N47" s="4" t="s">
        <v>314</v>
      </c>
      <c r="O47" s="4"/>
      <c r="P47" s="4"/>
    </row>
    <row r="48" spans="1:16">
      <c r="A48" s="4" t="s">
        <v>569</v>
      </c>
      <c r="B48" s="4" t="s">
        <v>78</v>
      </c>
      <c r="C48" s="4" t="s">
        <v>570</v>
      </c>
      <c r="D48" s="4" t="s">
        <v>244</v>
      </c>
      <c r="E48" s="4" t="s">
        <v>194</v>
      </c>
      <c r="F48" s="4" t="s">
        <v>571</v>
      </c>
      <c r="G48" s="4" t="s">
        <v>572</v>
      </c>
      <c r="H48" s="4" t="s">
        <v>573</v>
      </c>
      <c r="I48" s="4" t="s">
        <v>574</v>
      </c>
      <c r="J48" s="4" t="s">
        <v>310</v>
      </c>
      <c r="K48" s="4" t="s">
        <v>311</v>
      </c>
      <c r="L48" s="4" t="s">
        <v>312</v>
      </c>
      <c r="M48" s="4" t="s">
        <v>575</v>
      </c>
      <c r="N48" s="4" t="s">
        <v>314</v>
      </c>
      <c r="O48" s="4"/>
      <c r="P48" s="4"/>
    </row>
    <row r="49" spans="1:16">
      <c r="A49" s="4" t="s">
        <v>576</v>
      </c>
      <c r="B49" s="4" t="s">
        <v>78</v>
      </c>
      <c r="C49" s="4" t="s">
        <v>577</v>
      </c>
      <c r="D49" s="4" t="s">
        <v>338</v>
      </c>
      <c r="E49" s="4" t="s">
        <v>194</v>
      </c>
      <c r="F49" s="4" t="s">
        <v>571</v>
      </c>
      <c r="G49" s="4" t="s">
        <v>578</v>
      </c>
      <c r="H49" s="4" t="s">
        <v>369</v>
      </c>
      <c r="I49" s="4" t="s">
        <v>579</v>
      </c>
      <c r="J49" s="4" t="s">
        <v>310</v>
      </c>
      <c r="K49" s="4" t="s">
        <v>311</v>
      </c>
      <c r="L49" s="4" t="s">
        <v>312</v>
      </c>
      <c r="M49" s="4" t="s">
        <v>580</v>
      </c>
      <c r="N49" s="4" t="s">
        <v>314</v>
      </c>
      <c r="O49" s="4"/>
      <c r="P49" s="4"/>
    </row>
    <row r="50" spans="1:16">
      <c r="A50" s="4" t="s">
        <v>581</v>
      </c>
      <c r="B50" s="4" t="s">
        <v>78</v>
      </c>
      <c r="C50" s="4" t="s">
        <v>582</v>
      </c>
      <c r="D50" s="4" t="s">
        <v>323</v>
      </c>
      <c r="E50" s="4" t="s">
        <v>183</v>
      </c>
      <c r="F50" s="4" t="s">
        <v>583</v>
      </c>
      <c r="G50" s="4" t="s">
        <v>584</v>
      </c>
      <c r="H50" s="4" t="s">
        <v>585</v>
      </c>
      <c r="I50" s="4" t="s">
        <v>586</v>
      </c>
      <c r="J50" s="4" t="s">
        <v>310</v>
      </c>
      <c r="K50" s="4" t="s">
        <v>311</v>
      </c>
      <c r="L50" s="4" t="s">
        <v>312</v>
      </c>
      <c r="M50" s="4" t="s">
        <v>587</v>
      </c>
      <c r="N50" s="4" t="s">
        <v>314</v>
      </c>
      <c r="O50" s="4"/>
      <c r="P50" s="4"/>
    </row>
    <row r="51" spans="1:16">
      <c r="A51" s="4" t="s">
        <v>588</v>
      </c>
      <c r="B51" s="4" t="s">
        <v>78</v>
      </c>
      <c r="C51" s="4" t="s">
        <v>589</v>
      </c>
      <c r="D51" s="4" t="s">
        <v>276</v>
      </c>
      <c r="E51" s="4" t="s">
        <v>183</v>
      </c>
      <c r="F51" s="4" t="s">
        <v>590</v>
      </c>
      <c r="G51" s="4" t="s">
        <v>591</v>
      </c>
      <c r="H51" s="4" t="s">
        <v>592</v>
      </c>
      <c r="I51" s="4" t="s">
        <v>593</v>
      </c>
      <c r="J51" s="4" t="s">
        <v>310</v>
      </c>
      <c r="K51" s="4" t="s">
        <v>311</v>
      </c>
      <c r="L51" s="4" t="s">
        <v>312</v>
      </c>
      <c r="M51" s="4" t="s">
        <v>594</v>
      </c>
      <c r="N51" s="4" t="s">
        <v>314</v>
      </c>
      <c r="O51" s="4"/>
      <c r="P51" s="4"/>
    </row>
    <row r="52" spans="1:16">
      <c r="A52" s="4" t="s">
        <v>595</v>
      </c>
      <c r="B52" s="4" t="s">
        <v>116</v>
      </c>
      <c r="C52" s="4" t="s">
        <v>596</v>
      </c>
      <c r="D52" s="4" t="s">
        <v>276</v>
      </c>
      <c r="E52" s="4" t="s">
        <v>194</v>
      </c>
      <c r="F52" s="4" t="s">
        <v>597</v>
      </c>
      <c r="G52" s="4" t="s">
        <v>598</v>
      </c>
      <c r="H52" s="4" t="s">
        <v>599</v>
      </c>
      <c r="I52" s="4" t="s">
        <v>600</v>
      </c>
      <c r="J52" s="4" t="s">
        <v>310</v>
      </c>
      <c r="K52" s="4" t="s">
        <v>311</v>
      </c>
      <c r="L52" s="4" t="s">
        <v>312</v>
      </c>
      <c r="M52" s="4" t="s">
        <v>601</v>
      </c>
      <c r="N52" s="4" t="s">
        <v>314</v>
      </c>
      <c r="O52" s="4"/>
      <c r="P52" s="4"/>
    </row>
    <row r="53" spans="1:16">
      <c r="A53" s="4" t="s">
        <v>602</v>
      </c>
      <c r="B53" s="4" t="s">
        <v>81</v>
      </c>
      <c r="C53" s="4" t="s">
        <v>603</v>
      </c>
      <c r="D53" s="4" t="s">
        <v>305</v>
      </c>
      <c r="E53" s="4" t="s">
        <v>194</v>
      </c>
      <c r="F53" s="4" t="s">
        <v>604</v>
      </c>
      <c r="G53" s="4" t="s">
        <v>605</v>
      </c>
      <c r="H53" s="4" t="s">
        <v>606</v>
      </c>
      <c r="I53" s="4" t="s">
        <v>607</v>
      </c>
      <c r="J53" s="4" t="s">
        <v>310</v>
      </c>
      <c r="K53" s="4" t="s">
        <v>311</v>
      </c>
      <c r="L53" s="4" t="s">
        <v>312</v>
      </c>
      <c r="M53" s="4" t="s">
        <v>608</v>
      </c>
      <c r="N53" s="4" t="s">
        <v>314</v>
      </c>
      <c r="O53" s="4"/>
      <c r="P53" s="4"/>
    </row>
    <row r="54" spans="1:16">
      <c r="A54" s="4" t="s">
        <v>609</v>
      </c>
      <c r="B54" s="4" t="s">
        <v>81</v>
      </c>
      <c r="C54" s="4" t="s">
        <v>610</v>
      </c>
      <c r="D54" s="4" t="s">
        <v>338</v>
      </c>
      <c r="E54" s="4" t="s">
        <v>194</v>
      </c>
      <c r="F54" s="4" t="s">
        <v>611</v>
      </c>
      <c r="G54" s="4" t="s">
        <v>612</v>
      </c>
      <c r="H54" s="4" t="s">
        <v>369</v>
      </c>
      <c r="I54" s="4" t="s">
        <v>613</v>
      </c>
      <c r="J54" s="4" t="s">
        <v>310</v>
      </c>
      <c r="K54" s="4" t="s">
        <v>311</v>
      </c>
      <c r="L54" s="4" t="s">
        <v>312</v>
      </c>
      <c r="M54" s="4" t="s">
        <v>614</v>
      </c>
      <c r="N54" s="4" t="s">
        <v>314</v>
      </c>
      <c r="O54" s="4"/>
      <c r="P54" s="4"/>
    </row>
    <row r="55" spans="1:16">
      <c r="A55" s="4" t="s">
        <v>615</v>
      </c>
      <c r="B55" s="4" t="s">
        <v>81</v>
      </c>
      <c r="C55" s="4" t="s">
        <v>616</v>
      </c>
      <c r="D55" s="4" t="s">
        <v>323</v>
      </c>
      <c r="E55" s="4" t="s">
        <v>194</v>
      </c>
      <c r="F55" s="4" t="s">
        <v>617</v>
      </c>
      <c r="G55" s="4" t="s">
        <v>618</v>
      </c>
      <c r="H55" s="4" t="s">
        <v>369</v>
      </c>
      <c r="I55" s="4" t="s">
        <v>619</v>
      </c>
      <c r="J55" s="4" t="s">
        <v>310</v>
      </c>
      <c r="K55" s="4" t="s">
        <v>311</v>
      </c>
      <c r="L55" s="4" t="s">
        <v>312</v>
      </c>
      <c r="M55" s="4" t="s">
        <v>620</v>
      </c>
      <c r="N55" s="4" t="s">
        <v>314</v>
      </c>
      <c r="O55" s="4"/>
      <c r="P55" s="4"/>
    </row>
    <row r="56" spans="1:16">
      <c r="A56" s="4" t="s">
        <v>621</v>
      </c>
      <c r="B56" s="4" t="s">
        <v>85</v>
      </c>
      <c r="C56" s="4" t="s">
        <v>622</v>
      </c>
      <c r="D56" s="4" t="s">
        <v>330</v>
      </c>
      <c r="E56" s="4" t="s">
        <v>183</v>
      </c>
      <c r="F56" s="4" t="s">
        <v>623</v>
      </c>
      <c r="G56" s="4" t="s">
        <v>624</v>
      </c>
      <c r="H56" s="4" t="s">
        <v>625</v>
      </c>
      <c r="I56" s="4" t="s">
        <v>626</v>
      </c>
      <c r="J56" s="4" t="s">
        <v>310</v>
      </c>
      <c r="K56" s="4" t="s">
        <v>311</v>
      </c>
      <c r="L56" s="4" t="s">
        <v>312</v>
      </c>
      <c r="M56" s="4" t="s">
        <v>627</v>
      </c>
      <c r="N56" s="4" t="s">
        <v>314</v>
      </c>
      <c r="O56" s="4"/>
      <c r="P56" s="4"/>
    </row>
    <row r="57" spans="1:16">
      <c r="A57" s="4" t="s">
        <v>628</v>
      </c>
      <c r="B57" s="4" t="s">
        <v>85</v>
      </c>
      <c r="C57" s="4" t="s">
        <v>629</v>
      </c>
      <c r="D57" s="4" t="s">
        <v>276</v>
      </c>
      <c r="E57" s="4" t="s">
        <v>194</v>
      </c>
      <c r="F57" s="4" t="s">
        <v>630</v>
      </c>
      <c r="G57" s="4" t="s">
        <v>631</v>
      </c>
      <c r="H57" s="4" t="s">
        <v>632</v>
      </c>
      <c r="I57" s="4" t="s">
        <v>633</v>
      </c>
      <c r="J57" s="4" t="s">
        <v>310</v>
      </c>
      <c r="K57" s="4" t="s">
        <v>311</v>
      </c>
      <c r="L57" s="4" t="s">
        <v>312</v>
      </c>
      <c r="M57" s="4" t="s">
        <v>634</v>
      </c>
      <c r="N57" s="4" t="s">
        <v>314</v>
      </c>
      <c r="O57" s="4"/>
      <c r="P57" s="4"/>
    </row>
    <row r="58" spans="1:16">
      <c r="A58" s="4" t="s">
        <v>635</v>
      </c>
      <c r="B58" s="4" t="s">
        <v>85</v>
      </c>
      <c r="C58" s="4" t="s">
        <v>636</v>
      </c>
      <c r="D58" s="4" t="s">
        <v>276</v>
      </c>
      <c r="E58" s="4" t="s">
        <v>194</v>
      </c>
      <c r="F58" s="4" t="s">
        <v>637</v>
      </c>
      <c r="G58" s="4" t="s">
        <v>638</v>
      </c>
      <c r="H58" s="4" t="s">
        <v>639</v>
      </c>
      <c r="I58" s="4" t="s">
        <v>640</v>
      </c>
      <c r="J58" s="4" t="s">
        <v>310</v>
      </c>
      <c r="K58" s="4" t="s">
        <v>311</v>
      </c>
      <c r="L58" s="4" t="s">
        <v>312</v>
      </c>
      <c r="M58" s="4" t="s">
        <v>641</v>
      </c>
      <c r="N58" s="4" t="s">
        <v>314</v>
      </c>
      <c r="O58" s="4"/>
      <c r="P58" s="4"/>
    </row>
    <row r="59" spans="1:16">
      <c r="A59" s="4" t="s">
        <v>642</v>
      </c>
      <c r="B59" s="4" t="s">
        <v>85</v>
      </c>
      <c r="C59" s="4" t="s">
        <v>643</v>
      </c>
      <c r="D59" s="4" t="s">
        <v>244</v>
      </c>
      <c r="E59" s="4" t="s">
        <v>194</v>
      </c>
      <c r="F59" s="4" t="s">
        <v>644</v>
      </c>
      <c r="G59" s="4" t="s">
        <v>645</v>
      </c>
      <c r="H59" s="4" t="s">
        <v>646</v>
      </c>
      <c r="I59" s="4" t="s">
        <v>647</v>
      </c>
      <c r="J59" s="4" t="s">
        <v>310</v>
      </c>
      <c r="K59" s="4" t="s">
        <v>311</v>
      </c>
      <c r="L59" s="4" t="s">
        <v>312</v>
      </c>
      <c r="M59" s="4" t="s">
        <v>648</v>
      </c>
      <c r="N59" s="4" t="s">
        <v>314</v>
      </c>
      <c r="O59" s="4"/>
      <c r="P59" s="4"/>
    </row>
    <row r="60" spans="1:16">
      <c r="A60" s="4" t="s">
        <v>649</v>
      </c>
      <c r="B60" s="4" t="s">
        <v>85</v>
      </c>
      <c r="C60" s="4" t="s">
        <v>650</v>
      </c>
      <c r="D60" s="4" t="s">
        <v>338</v>
      </c>
      <c r="E60" s="4" t="s">
        <v>194</v>
      </c>
      <c r="F60" s="4" t="s">
        <v>449</v>
      </c>
      <c r="G60" s="4" t="s">
        <v>457</v>
      </c>
      <c r="H60" s="4" t="s">
        <v>651</v>
      </c>
      <c r="I60" s="4" t="s">
        <v>652</v>
      </c>
      <c r="J60" s="4" t="s">
        <v>310</v>
      </c>
      <c r="K60" s="4" t="s">
        <v>311</v>
      </c>
      <c r="L60" s="4" t="s">
        <v>312</v>
      </c>
      <c r="M60" s="4" t="s">
        <v>653</v>
      </c>
      <c r="N60" s="4" t="s">
        <v>314</v>
      </c>
      <c r="O60" s="4"/>
      <c r="P60" s="4"/>
    </row>
    <row r="61" spans="1:16">
      <c r="A61" s="4" t="s">
        <v>654</v>
      </c>
      <c r="B61" s="4" t="s">
        <v>85</v>
      </c>
      <c r="C61" s="4" t="s">
        <v>655</v>
      </c>
      <c r="D61" s="4" t="s">
        <v>276</v>
      </c>
      <c r="E61" s="4" t="s">
        <v>194</v>
      </c>
      <c r="F61" s="4" t="s">
        <v>656</v>
      </c>
      <c r="G61" s="4" t="s">
        <v>657</v>
      </c>
      <c r="H61" s="4" t="s">
        <v>658</v>
      </c>
      <c r="I61" s="4" t="s">
        <v>659</v>
      </c>
      <c r="J61" s="4" t="s">
        <v>310</v>
      </c>
      <c r="K61" s="4" t="s">
        <v>311</v>
      </c>
      <c r="L61" s="4" t="s">
        <v>312</v>
      </c>
      <c r="M61" s="4" t="s">
        <v>660</v>
      </c>
      <c r="N61" s="4" t="s">
        <v>314</v>
      </c>
      <c r="O61" s="4"/>
      <c r="P61" s="4"/>
    </row>
    <row r="62" spans="1:16">
      <c r="A62" s="4" t="s">
        <v>661</v>
      </c>
      <c r="B62" s="4" t="s">
        <v>85</v>
      </c>
      <c r="C62" s="4" t="s">
        <v>662</v>
      </c>
      <c r="D62" s="4" t="s">
        <v>305</v>
      </c>
      <c r="E62" s="4" t="s">
        <v>194</v>
      </c>
      <c r="F62" s="4" t="s">
        <v>663</v>
      </c>
      <c r="G62" s="4" t="s">
        <v>664</v>
      </c>
      <c r="H62" s="4" t="s">
        <v>665</v>
      </c>
      <c r="I62" s="4" t="s">
        <v>666</v>
      </c>
      <c r="J62" s="4" t="s">
        <v>310</v>
      </c>
      <c r="K62" s="4" t="s">
        <v>311</v>
      </c>
      <c r="L62" s="4" t="s">
        <v>312</v>
      </c>
      <c r="M62" s="4" t="s">
        <v>667</v>
      </c>
      <c r="N62" s="4" t="s">
        <v>314</v>
      </c>
      <c r="O62" s="4"/>
      <c r="P62" s="4"/>
    </row>
    <row r="63" spans="1:16">
      <c r="A63" s="4" t="s">
        <v>668</v>
      </c>
      <c r="B63" s="4" t="s">
        <v>85</v>
      </c>
      <c r="C63" s="4" t="s">
        <v>669</v>
      </c>
      <c r="D63" s="4" t="s">
        <v>305</v>
      </c>
      <c r="E63" s="4" t="s">
        <v>194</v>
      </c>
      <c r="F63" s="4" t="s">
        <v>670</v>
      </c>
      <c r="G63" s="4" t="s">
        <v>671</v>
      </c>
      <c r="H63" s="4" t="s">
        <v>672</v>
      </c>
      <c r="I63" s="4" t="s">
        <v>673</v>
      </c>
      <c r="J63" s="4" t="s">
        <v>310</v>
      </c>
      <c r="K63" s="4" t="s">
        <v>311</v>
      </c>
      <c r="L63" s="4" t="s">
        <v>312</v>
      </c>
      <c r="M63" s="4" t="s">
        <v>667</v>
      </c>
      <c r="N63" s="4" t="s">
        <v>314</v>
      </c>
      <c r="O63" s="4"/>
      <c r="P63" s="4"/>
    </row>
    <row r="64" spans="1:16">
      <c r="A64" s="4" t="s">
        <v>674</v>
      </c>
      <c r="B64" s="4" t="s">
        <v>89</v>
      </c>
      <c r="C64" s="4" t="s">
        <v>675</v>
      </c>
      <c r="D64" s="4" t="s">
        <v>276</v>
      </c>
      <c r="E64" s="4" t="s">
        <v>194</v>
      </c>
      <c r="F64" s="4" t="s">
        <v>676</v>
      </c>
      <c r="G64" s="4" t="s">
        <v>677</v>
      </c>
      <c r="H64" s="4" t="s">
        <v>678</v>
      </c>
      <c r="I64" s="4" t="s">
        <v>679</v>
      </c>
      <c r="J64" s="4" t="s">
        <v>310</v>
      </c>
      <c r="K64" s="4" t="s">
        <v>311</v>
      </c>
      <c r="L64" s="4" t="s">
        <v>312</v>
      </c>
      <c r="M64" s="4" t="s">
        <v>680</v>
      </c>
      <c r="N64" s="4" t="s">
        <v>314</v>
      </c>
      <c r="O64" s="4"/>
      <c r="P64" s="4"/>
    </row>
    <row r="65" spans="1:16">
      <c r="A65" s="4" t="s">
        <v>681</v>
      </c>
      <c r="B65" s="4" t="s">
        <v>89</v>
      </c>
      <c r="C65" s="4" t="s">
        <v>682</v>
      </c>
      <c r="D65" s="4" t="s">
        <v>276</v>
      </c>
      <c r="E65" s="4" t="s">
        <v>194</v>
      </c>
      <c r="F65" s="4" t="s">
        <v>683</v>
      </c>
      <c r="G65" s="4" t="s">
        <v>684</v>
      </c>
      <c r="H65" s="4" t="s">
        <v>685</v>
      </c>
      <c r="I65" s="4" t="s">
        <v>686</v>
      </c>
      <c r="J65" s="4" t="s">
        <v>310</v>
      </c>
      <c r="K65" s="4" t="s">
        <v>311</v>
      </c>
      <c r="L65" s="4" t="s">
        <v>312</v>
      </c>
      <c r="M65" s="4" t="s">
        <v>687</v>
      </c>
      <c r="N65" s="4" t="s">
        <v>314</v>
      </c>
      <c r="O65" s="4"/>
      <c r="P65" s="4"/>
    </row>
    <row r="66" spans="1:16">
      <c r="A66" s="4" t="s">
        <v>688</v>
      </c>
      <c r="B66" s="4" t="s">
        <v>89</v>
      </c>
      <c r="C66" s="4" t="s">
        <v>689</v>
      </c>
      <c r="D66" s="4" t="s">
        <v>323</v>
      </c>
      <c r="E66" s="4" t="s">
        <v>183</v>
      </c>
      <c r="F66" s="4" t="s">
        <v>690</v>
      </c>
      <c r="G66" s="4" t="s">
        <v>691</v>
      </c>
      <c r="H66" s="4" t="s">
        <v>685</v>
      </c>
      <c r="I66" s="4" t="s">
        <v>692</v>
      </c>
      <c r="J66" s="4" t="s">
        <v>310</v>
      </c>
      <c r="K66" s="4" t="s">
        <v>311</v>
      </c>
      <c r="L66" s="4" t="s">
        <v>312</v>
      </c>
      <c r="M66" s="4" t="s">
        <v>693</v>
      </c>
      <c r="N66" s="4" t="s">
        <v>314</v>
      </c>
      <c r="O66" s="4"/>
      <c r="P66" s="4"/>
    </row>
    <row r="67" spans="1:16">
      <c r="A67" s="4" t="s">
        <v>694</v>
      </c>
      <c r="B67" s="4" t="s">
        <v>89</v>
      </c>
      <c r="C67" s="4" t="s">
        <v>695</v>
      </c>
      <c r="D67" s="4" t="s">
        <v>323</v>
      </c>
      <c r="E67" s="4" t="s">
        <v>194</v>
      </c>
      <c r="F67" s="4" t="s">
        <v>696</v>
      </c>
      <c r="G67" s="4" t="s">
        <v>697</v>
      </c>
      <c r="H67" s="4" t="s">
        <v>698</v>
      </c>
      <c r="I67" s="4" t="s">
        <v>699</v>
      </c>
      <c r="J67" s="4" t="s">
        <v>310</v>
      </c>
      <c r="K67" s="4" t="s">
        <v>311</v>
      </c>
      <c r="L67" s="4" t="s">
        <v>312</v>
      </c>
      <c r="M67" s="4" t="s">
        <v>700</v>
      </c>
      <c r="N67" s="4" t="s">
        <v>314</v>
      </c>
      <c r="O67" s="4"/>
      <c r="P67" s="4"/>
    </row>
    <row r="68" spans="1:16">
      <c r="A68" s="4" t="s">
        <v>701</v>
      </c>
      <c r="B68" s="4" t="s">
        <v>89</v>
      </c>
      <c r="C68" s="4" t="s">
        <v>702</v>
      </c>
      <c r="D68" s="4" t="s">
        <v>305</v>
      </c>
      <c r="E68" s="4" t="s">
        <v>194</v>
      </c>
      <c r="F68" s="4" t="s">
        <v>703</v>
      </c>
      <c r="G68" s="4" t="s">
        <v>704</v>
      </c>
      <c r="H68" s="4" t="s">
        <v>705</v>
      </c>
      <c r="I68" s="4" t="s">
        <v>706</v>
      </c>
      <c r="J68" s="4" t="s">
        <v>310</v>
      </c>
      <c r="K68" s="4" t="s">
        <v>311</v>
      </c>
      <c r="L68" s="4" t="s">
        <v>312</v>
      </c>
      <c r="M68" s="4" t="s">
        <v>707</v>
      </c>
      <c r="N68" s="4" t="s">
        <v>314</v>
      </c>
      <c r="O68" s="4"/>
      <c r="P68" s="4"/>
    </row>
    <row r="69" spans="1:16">
      <c r="A69" s="4" t="s">
        <v>708</v>
      </c>
      <c r="B69" s="4" t="s">
        <v>203</v>
      </c>
      <c r="C69" s="4" t="s">
        <v>709</v>
      </c>
      <c r="D69" s="4" t="s">
        <v>427</v>
      </c>
      <c r="E69" s="4" t="s">
        <v>194</v>
      </c>
      <c r="F69" s="4" t="s">
        <v>710</v>
      </c>
      <c r="G69" s="4" t="s">
        <v>711</v>
      </c>
      <c r="H69" s="4" t="s">
        <v>712</v>
      </c>
      <c r="I69" s="4" t="s">
        <v>713</v>
      </c>
      <c r="J69" s="4" t="s">
        <v>310</v>
      </c>
      <c r="K69" s="4" t="s">
        <v>311</v>
      </c>
      <c r="L69" s="4" t="s">
        <v>312</v>
      </c>
      <c r="M69" s="4" t="s">
        <v>714</v>
      </c>
      <c r="N69" s="4" t="s">
        <v>314</v>
      </c>
      <c r="O69" s="4"/>
      <c r="P69" s="4"/>
    </row>
    <row r="70" spans="1:16">
      <c r="A70" s="4" t="s">
        <v>715</v>
      </c>
      <c r="B70" s="4" t="s">
        <v>203</v>
      </c>
      <c r="C70" s="4" t="s">
        <v>716</v>
      </c>
      <c r="D70" s="4" t="s">
        <v>427</v>
      </c>
      <c r="E70" s="4" t="s">
        <v>194</v>
      </c>
      <c r="F70" s="4" t="s">
        <v>717</v>
      </c>
      <c r="G70" s="4" t="s">
        <v>718</v>
      </c>
      <c r="H70" s="4" t="s">
        <v>719</v>
      </c>
      <c r="I70" s="4" t="s">
        <v>720</v>
      </c>
      <c r="J70" s="4" t="s">
        <v>310</v>
      </c>
      <c r="K70" s="4" t="s">
        <v>311</v>
      </c>
      <c r="L70" s="4" t="s">
        <v>312</v>
      </c>
      <c r="M70" s="4" t="s">
        <v>721</v>
      </c>
      <c r="N70" s="4" t="s">
        <v>314</v>
      </c>
      <c r="O70" s="4"/>
      <c r="P70" s="4"/>
    </row>
    <row r="71" spans="1:16">
      <c r="A71" s="4" t="s">
        <v>722</v>
      </c>
      <c r="B71" s="4" t="s">
        <v>203</v>
      </c>
      <c r="C71" s="4" t="s">
        <v>723</v>
      </c>
      <c r="D71" s="4" t="s">
        <v>427</v>
      </c>
      <c r="E71" s="4" t="s">
        <v>194</v>
      </c>
      <c r="F71" s="4" t="s">
        <v>717</v>
      </c>
      <c r="G71" s="4" t="s">
        <v>724</v>
      </c>
      <c r="H71" s="4" t="s">
        <v>725</v>
      </c>
      <c r="I71" s="4" t="s">
        <v>726</v>
      </c>
      <c r="J71" s="4" t="s">
        <v>310</v>
      </c>
      <c r="K71" s="4" t="s">
        <v>311</v>
      </c>
      <c r="L71" s="4" t="s">
        <v>312</v>
      </c>
      <c r="M71" s="4" t="s">
        <v>727</v>
      </c>
      <c r="N71" s="4" t="s">
        <v>314</v>
      </c>
      <c r="O71" s="4"/>
      <c r="P71" s="4"/>
    </row>
  </sheetData>
  <dataValidations count="2">
    <dataValidation type="list" sqref="K2:K250" xr:uid="{00000000-0002-0000-0400-000000000000}">
      <formula1>"Executed,Not Executed,Blocked"</formula1>
    </dataValidation>
    <dataValidation type="list" sqref="L2:L250" xr:uid="{00000000-0002-0000-0400-000001000000}">
      <formula1>"Pass,Fail,Not Run,Not Verifiable"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>
      <pane ySplit="1" topLeftCell="A2" activePane="bottomLeft" state="frozen"/>
      <selection pane="bottomLeft" sqref="A1:XFD1048576"/>
    </sheetView>
  </sheetViews>
  <sheetFormatPr defaultRowHeight="13.5"/>
  <cols>
    <col min="1" max="1" width="14.1875" bestFit="1" customWidth="1"/>
    <col min="2" max="2" width="39.4375" bestFit="1" customWidth="1"/>
    <col min="3" max="3" width="22.0625" bestFit="1" customWidth="1"/>
    <col min="4" max="4" width="23.375" bestFit="1" customWidth="1"/>
    <col min="5" max="5" width="12.5" bestFit="1" customWidth="1"/>
    <col min="6" max="6" width="27.1875" bestFit="1" customWidth="1"/>
  </cols>
  <sheetData>
    <row r="1" spans="1:6" ht="13.9">
      <c r="A1" s="2" t="s">
        <v>728</v>
      </c>
      <c r="B1" s="2" t="s">
        <v>729</v>
      </c>
      <c r="C1" s="2" t="s">
        <v>730</v>
      </c>
      <c r="D1" s="2" t="s">
        <v>731</v>
      </c>
      <c r="E1" s="2" t="s">
        <v>95</v>
      </c>
      <c r="F1" s="2" t="s">
        <v>732</v>
      </c>
    </row>
    <row r="2" spans="1:6">
      <c r="A2" s="4" t="s">
        <v>733</v>
      </c>
      <c r="B2" s="4" t="s">
        <v>734</v>
      </c>
      <c r="C2" s="4" t="s">
        <v>735</v>
      </c>
      <c r="D2" s="4" t="s">
        <v>736</v>
      </c>
      <c r="E2" s="4" t="s">
        <v>314</v>
      </c>
      <c r="F2" s="4" t="s">
        <v>737</v>
      </c>
    </row>
    <row r="3" spans="1:6">
      <c r="A3" s="4" t="s">
        <v>738</v>
      </c>
      <c r="B3" s="4" t="s">
        <v>739</v>
      </c>
      <c r="C3" s="4" t="s">
        <v>740</v>
      </c>
      <c r="D3" s="4" t="s">
        <v>736</v>
      </c>
      <c r="E3" s="4" t="s">
        <v>314</v>
      </c>
      <c r="F3" s="4" t="s">
        <v>741</v>
      </c>
    </row>
    <row r="4" spans="1:6">
      <c r="A4" s="4" t="s">
        <v>742</v>
      </c>
      <c r="B4" s="4" t="s">
        <v>743</v>
      </c>
      <c r="C4" s="4" t="s">
        <v>744</v>
      </c>
      <c r="D4" s="4" t="s">
        <v>312</v>
      </c>
      <c r="E4" s="4" t="s">
        <v>745</v>
      </c>
      <c r="F4" s="4" t="s">
        <v>746</v>
      </c>
    </row>
    <row r="5" spans="1:6">
      <c r="A5" s="4" t="s">
        <v>747</v>
      </c>
      <c r="B5" s="4" t="s">
        <v>748</v>
      </c>
      <c r="C5" s="4" t="s">
        <v>336</v>
      </c>
      <c r="D5" s="4" t="s">
        <v>312</v>
      </c>
      <c r="E5" s="4" t="s">
        <v>314</v>
      </c>
      <c r="F5" s="4" t="s">
        <v>746</v>
      </c>
    </row>
    <row r="6" spans="1:6">
      <c r="A6" s="4" t="s">
        <v>749</v>
      </c>
      <c r="B6" s="4" t="s">
        <v>750</v>
      </c>
      <c r="C6" s="4" t="s">
        <v>751</v>
      </c>
      <c r="D6" s="4" t="s">
        <v>312</v>
      </c>
      <c r="E6" s="4" t="s">
        <v>314</v>
      </c>
      <c r="F6" s="4" t="s">
        <v>752</v>
      </c>
    </row>
    <row r="7" spans="1:6">
      <c r="A7" s="4" t="s">
        <v>753</v>
      </c>
      <c r="B7" s="4" t="s">
        <v>754</v>
      </c>
      <c r="C7" s="4" t="s">
        <v>755</v>
      </c>
      <c r="D7" s="4" t="s">
        <v>312</v>
      </c>
      <c r="E7" s="4" t="s">
        <v>314</v>
      </c>
      <c r="F7" s="4" t="s">
        <v>746</v>
      </c>
    </row>
    <row r="8" spans="1:6">
      <c r="A8" s="4" t="s">
        <v>756</v>
      </c>
      <c r="B8" s="4" t="s">
        <v>757</v>
      </c>
      <c r="C8" s="4" t="s">
        <v>758</v>
      </c>
      <c r="D8" s="4" t="s">
        <v>312</v>
      </c>
      <c r="E8" s="4" t="s">
        <v>314</v>
      </c>
      <c r="F8" s="4" t="s">
        <v>752</v>
      </c>
    </row>
    <row r="9" spans="1:6">
      <c r="A9" s="4" t="s">
        <v>759</v>
      </c>
      <c r="B9" s="4" t="s">
        <v>760</v>
      </c>
      <c r="C9" s="4" t="s">
        <v>411</v>
      </c>
      <c r="D9" s="4" t="s">
        <v>312</v>
      </c>
      <c r="E9" s="4" t="s">
        <v>314</v>
      </c>
      <c r="F9" s="4" t="s">
        <v>746</v>
      </c>
    </row>
    <row r="10" spans="1:6">
      <c r="A10" s="4" t="s">
        <v>761</v>
      </c>
      <c r="B10" s="4" t="s">
        <v>762</v>
      </c>
      <c r="C10" s="4" t="s">
        <v>763</v>
      </c>
      <c r="D10" s="4" t="s">
        <v>312</v>
      </c>
      <c r="E10" s="4" t="s">
        <v>314</v>
      </c>
      <c r="F10" s="4" t="s">
        <v>746</v>
      </c>
    </row>
    <row r="11" spans="1:6">
      <c r="A11" s="4" t="s">
        <v>764</v>
      </c>
      <c r="B11" s="4" t="s">
        <v>765</v>
      </c>
      <c r="C11" s="4" t="s">
        <v>433</v>
      </c>
      <c r="D11" s="4" t="s">
        <v>312</v>
      </c>
      <c r="E11" s="4" t="s">
        <v>314</v>
      </c>
      <c r="F11" s="4" t="s">
        <v>752</v>
      </c>
    </row>
    <row r="12" spans="1:6">
      <c r="A12" s="4" t="s">
        <v>766</v>
      </c>
      <c r="B12" s="4" t="s">
        <v>767</v>
      </c>
      <c r="C12" s="4" t="s">
        <v>768</v>
      </c>
      <c r="D12" s="4" t="s">
        <v>312</v>
      </c>
      <c r="E12" s="4" t="s">
        <v>124</v>
      </c>
      <c r="F12" s="4" t="s">
        <v>752</v>
      </c>
    </row>
    <row r="13" spans="1:6">
      <c r="A13" s="4" t="s">
        <v>769</v>
      </c>
      <c r="B13" s="4" t="s">
        <v>770</v>
      </c>
      <c r="C13" s="4" t="s">
        <v>771</v>
      </c>
      <c r="D13" s="4" t="s">
        <v>312</v>
      </c>
      <c r="E13" s="4" t="s">
        <v>158</v>
      </c>
      <c r="F13" s="4" t="s">
        <v>752</v>
      </c>
    </row>
    <row r="14" spans="1:6">
      <c r="A14" s="4" t="s">
        <v>772</v>
      </c>
      <c r="B14" s="4" t="s">
        <v>773</v>
      </c>
      <c r="C14" s="4" t="s">
        <v>774</v>
      </c>
      <c r="D14" s="4" t="s">
        <v>312</v>
      </c>
      <c r="E14" s="4" t="s">
        <v>775</v>
      </c>
      <c r="F14" s="4" t="s">
        <v>746</v>
      </c>
    </row>
    <row r="15" spans="1:6">
      <c r="A15" s="4" t="s">
        <v>776</v>
      </c>
      <c r="B15" s="4" t="s">
        <v>777</v>
      </c>
      <c r="C15" s="4" t="s">
        <v>778</v>
      </c>
      <c r="D15" s="4" t="s">
        <v>312</v>
      </c>
      <c r="E15" s="4" t="s">
        <v>314</v>
      </c>
      <c r="F15" s="4" t="s">
        <v>752</v>
      </c>
    </row>
    <row r="16" spans="1:6">
      <c r="A16" s="4" t="s">
        <v>779</v>
      </c>
      <c r="B16" s="4" t="s">
        <v>780</v>
      </c>
      <c r="C16" s="4" t="s">
        <v>781</v>
      </c>
      <c r="D16" s="4" t="s">
        <v>312</v>
      </c>
      <c r="E16" s="4" t="s">
        <v>782</v>
      </c>
      <c r="F16" s="4" t="s">
        <v>746</v>
      </c>
    </row>
    <row r="17" spans="1:6">
      <c r="A17" s="4" t="s">
        <v>783</v>
      </c>
      <c r="B17" s="4" t="s">
        <v>784</v>
      </c>
      <c r="C17" s="4" t="s">
        <v>595</v>
      </c>
      <c r="D17" s="4" t="s">
        <v>312</v>
      </c>
      <c r="E17" s="4" t="s">
        <v>115</v>
      </c>
      <c r="F17" s="4" t="s">
        <v>785</v>
      </c>
    </row>
    <row r="18" spans="1:6">
      <c r="A18" s="4" t="s">
        <v>786</v>
      </c>
      <c r="B18" s="4" t="s">
        <v>787</v>
      </c>
      <c r="C18" s="4" t="s">
        <v>788</v>
      </c>
      <c r="D18" s="4" t="s">
        <v>312</v>
      </c>
      <c r="E18" s="4" t="s">
        <v>140</v>
      </c>
      <c r="F18" s="4" t="s">
        <v>746</v>
      </c>
    </row>
    <row r="19" spans="1:6">
      <c r="A19" s="4" t="s">
        <v>789</v>
      </c>
      <c r="B19" s="4" t="s">
        <v>790</v>
      </c>
      <c r="C19" s="4" t="s">
        <v>791</v>
      </c>
      <c r="D19" s="4" t="s">
        <v>312</v>
      </c>
      <c r="E19" s="4" t="s">
        <v>314</v>
      </c>
      <c r="F19" s="4" t="s">
        <v>752</v>
      </c>
    </row>
    <row r="20" spans="1:6">
      <c r="A20" s="4" t="s">
        <v>792</v>
      </c>
      <c r="B20" s="4" t="s">
        <v>793</v>
      </c>
      <c r="C20" s="4" t="s">
        <v>794</v>
      </c>
      <c r="D20" s="4" t="s">
        <v>312</v>
      </c>
      <c r="E20" s="4" t="s">
        <v>795</v>
      </c>
      <c r="F20" s="4" t="s">
        <v>746</v>
      </c>
    </row>
    <row r="21" spans="1:6">
      <c r="A21" s="4" t="s">
        <v>796</v>
      </c>
      <c r="B21" s="4" t="s">
        <v>797</v>
      </c>
      <c r="C21" s="4" t="s">
        <v>798</v>
      </c>
      <c r="D21" s="4" t="s">
        <v>312</v>
      </c>
      <c r="E21" s="4" t="s">
        <v>314</v>
      </c>
      <c r="F21" s="4" t="s">
        <v>752</v>
      </c>
    </row>
    <row r="22" spans="1:6">
      <c r="A22" s="4" t="s">
        <v>799</v>
      </c>
      <c r="B22" s="4" t="s">
        <v>800</v>
      </c>
      <c r="C22" s="4" t="s">
        <v>801</v>
      </c>
      <c r="D22" s="4" t="s">
        <v>312</v>
      </c>
      <c r="E22" s="4" t="s">
        <v>207</v>
      </c>
      <c r="F22" s="4" t="s">
        <v>802</v>
      </c>
    </row>
    <row r="23" spans="1:6">
      <c r="A23" s="4" t="s">
        <v>803</v>
      </c>
      <c r="B23" s="4" t="s">
        <v>804</v>
      </c>
      <c r="C23" s="4" t="s">
        <v>801</v>
      </c>
      <c r="D23" s="4" t="s">
        <v>312</v>
      </c>
      <c r="E23" s="4" t="s">
        <v>212</v>
      </c>
      <c r="F23" s="4" t="s">
        <v>805</v>
      </c>
    </row>
    <row r="24" spans="1:6">
      <c r="A24" s="4" t="s">
        <v>806</v>
      </c>
      <c r="B24" s="4" t="s">
        <v>807</v>
      </c>
      <c r="C24" s="4" t="s">
        <v>801</v>
      </c>
      <c r="D24" s="4" t="s">
        <v>312</v>
      </c>
      <c r="E24" s="4" t="s">
        <v>217</v>
      </c>
      <c r="F24" s="4" t="s">
        <v>808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3.5"/>
  <cols>
    <col min="1" max="1" width="7.6875" bestFit="1" customWidth="1"/>
    <col min="2" max="2" width="15.625" bestFit="1" customWidth="1"/>
    <col min="3" max="3" width="67.1875" bestFit="1" customWidth="1"/>
    <col min="4" max="4" width="30.8125" bestFit="1" customWidth="1"/>
    <col min="5" max="5" width="13.25" bestFit="1" customWidth="1"/>
    <col min="6" max="6" width="9.0625" bestFit="1" customWidth="1"/>
    <col min="7" max="7" width="14.5625" bestFit="1" customWidth="1"/>
    <col min="8" max="8" width="7.5" bestFit="1" customWidth="1"/>
  </cols>
  <sheetData>
    <row r="1" spans="1:8" ht="13.9">
      <c r="A1" s="2" t="s">
        <v>809</v>
      </c>
      <c r="B1" s="2" t="s">
        <v>810</v>
      </c>
      <c r="C1" s="2" t="s">
        <v>811</v>
      </c>
      <c r="D1" s="2" t="s">
        <v>812</v>
      </c>
      <c r="E1" s="2" t="s">
        <v>101</v>
      </c>
      <c r="F1" s="2" t="s">
        <v>102</v>
      </c>
      <c r="G1" s="2" t="s">
        <v>813</v>
      </c>
      <c r="H1" s="2" t="s">
        <v>814</v>
      </c>
    </row>
    <row r="2" spans="1:8">
      <c r="A2" s="4" t="s">
        <v>815</v>
      </c>
      <c r="B2" s="4" t="s">
        <v>816</v>
      </c>
      <c r="C2" s="4" t="s">
        <v>817</v>
      </c>
      <c r="D2" s="4" t="s">
        <v>818</v>
      </c>
      <c r="E2" s="4" t="s">
        <v>110</v>
      </c>
      <c r="F2" s="4"/>
      <c r="G2" s="4"/>
      <c r="H2" s="4"/>
    </row>
    <row r="3" spans="1:8">
      <c r="A3" s="4" t="s">
        <v>819</v>
      </c>
      <c r="B3" s="4" t="s">
        <v>816</v>
      </c>
      <c r="C3" s="4" t="s">
        <v>820</v>
      </c>
      <c r="D3" s="4" t="s">
        <v>581</v>
      </c>
      <c r="E3" s="4" t="s">
        <v>110</v>
      </c>
      <c r="F3" s="4"/>
      <c r="G3" s="4"/>
      <c r="H3" s="4"/>
    </row>
    <row r="4" spans="1:8">
      <c r="A4" s="4" t="s">
        <v>821</v>
      </c>
      <c r="B4" s="4" t="s">
        <v>822</v>
      </c>
      <c r="C4" s="4" t="s">
        <v>823</v>
      </c>
      <c r="D4" s="4" t="s">
        <v>824</v>
      </c>
      <c r="E4" s="4" t="s">
        <v>110</v>
      </c>
      <c r="F4" s="4"/>
      <c r="G4" s="4"/>
      <c r="H4" s="4"/>
    </row>
    <row r="5" spans="1:8">
      <c r="A5" s="4" t="s">
        <v>825</v>
      </c>
      <c r="B5" s="4" t="s">
        <v>816</v>
      </c>
      <c r="C5" s="4" t="s">
        <v>826</v>
      </c>
      <c r="D5" s="4" t="s">
        <v>827</v>
      </c>
      <c r="E5" s="4" t="s">
        <v>110</v>
      </c>
      <c r="F5" s="4"/>
      <c r="G5" s="4"/>
      <c r="H5" s="4"/>
    </row>
    <row r="6" spans="1:8">
      <c r="A6" s="4" t="s">
        <v>828</v>
      </c>
      <c r="B6" s="4" t="s">
        <v>816</v>
      </c>
      <c r="C6" s="4" t="s">
        <v>829</v>
      </c>
      <c r="D6" s="4" t="s">
        <v>830</v>
      </c>
      <c r="E6" s="4" t="s">
        <v>110</v>
      </c>
      <c r="F6" s="4"/>
      <c r="G6" s="4"/>
      <c r="H6" s="4"/>
    </row>
    <row r="7" spans="1:8">
      <c r="A7" s="4" t="s">
        <v>831</v>
      </c>
      <c r="B7" s="4" t="s">
        <v>816</v>
      </c>
      <c r="C7" s="4" t="s">
        <v>832</v>
      </c>
      <c r="D7" s="4" t="s">
        <v>833</v>
      </c>
      <c r="E7" s="4" t="s">
        <v>110</v>
      </c>
      <c r="F7" s="4"/>
      <c r="G7" s="4"/>
      <c r="H7" s="4"/>
    </row>
    <row r="8" spans="1:8">
      <c r="A8" s="4" t="s">
        <v>834</v>
      </c>
      <c r="B8" s="4" t="s">
        <v>816</v>
      </c>
      <c r="C8" s="4" t="s">
        <v>835</v>
      </c>
      <c r="D8" s="4" t="s">
        <v>836</v>
      </c>
      <c r="E8" s="4" t="s">
        <v>110</v>
      </c>
      <c r="F8" s="4"/>
      <c r="G8" s="4"/>
      <c r="H8" s="4"/>
    </row>
    <row r="9" spans="1:8">
      <c r="A9" s="4" t="s">
        <v>837</v>
      </c>
      <c r="B9" s="4" t="s">
        <v>838</v>
      </c>
      <c r="C9" s="4" t="s">
        <v>839</v>
      </c>
      <c r="D9" s="4" t="s">
        <v>840</v>
      </c>
      <c r="E9" s="4" t="s">
        <v>110</v>
      </c>
      <c r="F9" s="4"/>
      <c r="G9" s="4"/>
      <c r="H9" s="4"/>
    </row>
    <row r="10" spans="1:8">
      <c r="A10" s="4" t="s">
        <v>841</v>
      </c>
      <c r="B10" s="4" t="s">
        <v>842</v>
      </c>
      <c r="C10" s="4" t="s">
        <v>843</v>
      </c>
      <c r="D10" s="4" t="s">
        <v>844</v>
      </c>
      <c r="E10" s="4" t="s">
        <v>110</v>
      </c>
      <c r="F10" s="4"/>
      <c r="G10" s="4"/>
      <c r="H10" s="4"/>
    </row>
    <row r="11" spans="1:8">
      <c r="A11" s="4" t="s">
        <v>845</v>
      </c>
      <c r="B11" s="4" t="s">
        <v>846</v>
      </c>
      <c r="C11" s="4" t="s">
        <v>847</v>
      </c>
      <c r="D11" s="4" t="s">
        <v>848</v>
      </c>
      <c r="E11" s="4" t="s">
        <v>110</v>
      </c>
      <c r="F11" s="4"/>
      <c r="G11" s="4"/>
      <c r="H11" s="4"/>
    </row>
    <row r="12" spans="1:8">
      <c r="A12" s="4" t="s">
        <v>849</v>
      </c>
      <c r="B12" s="4" t="s">
        <v>850</v>
      </c>
      <c r="C12" s="4" t="s">
        <v>851</v>
      </c>
      <c r="D12" s="4" t="s">
        <v>852</v>
      </c>
      <c r="E12" s="4" t="s">
        <v>110</v>
      </c>
      <c r="F12" s="4"/>
      <c r="G12" s="4"/>
      <c r="H12" s="4"/>
    </row>
  </sheetData>
  <dataValidations count="1">
    <dataValidation type="list" sqref="E2:E250" xr:uid="{00000000-0002-0000-0600-000000000000}">
      <formula1>"Chưa xử lý,Đang xử lý,Đã xong,Chờ kiểm thử,Không thực hiện"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pane ySplit="1" topLeftCell="A2" activePane="bottomLeft" state="frozen"/>
      <selection pane="bottomLeft" activeCell="A2" sqref="A2:B11"/>
    </sheetView>
  </sheetViews>
  <sheetFormatPr defaultColWidth="36.0625" defaultRowHeight="13.5"/>
  <cols>
    <col min="1" max="1" width="22.3125" bestFit="1" customWidth="1"/>
    <col min="2" max="2" width="36.625" bestFit="1" customWidth="1"/>
  </cols>
  <sheetData>
    <row r="1" spans="1:2" ht="13.9">
      <c r="A1" s="2" t="s">
        <v>853</v>
      </c>
      <c r="B1" s="2" t="s">
        <v>234</v>
      </c>
    </row>
    <row r="2" spans="1:2">
      <c r="A2" s="4" t="s">
        <v>854</v>
      </c>
      <c r="B2" s="4" t="s">
        <v>855</v>
      </c>
    </row>
    <row r="3" spans="1:2">
      <c r="A3" s="4" t="s">
        <v>856</v>
      </c>
      <c r="B3" s="4" t="s">
        <v>857</v>
      </c>
    </row>
    <row r="4" spans="1:2">
      <c r="A4" s="4" t="s">
        <v>858</v>
      </c>
      <c r="B4" s="4" t="s">
        <v>859</v>
      </c>
    </row>
    <row r="5" spans="1:2" ht="27">
      <c r="A5" s="4" t="s">
        <v>860</v>
      </c>
      <c r="B5" s="4" t="s">
        <v>861</v>
      </c>
    </row>
    <row r="6" spans="1:2">
      <c r="A6" s="4" t="s">
        <v>862</v>
      </c>
      <c r="B6" s="4" t="s">
        <v>863</v>
      </c>
    </row>
    <row r="7" spans="1:2" ht="27">
      <c r="A7" s="4" t="s">
        <v>864</v>
      </c>
      <c r="B7" s="4" t="s">
        <v>865</v>
      </c>
    </row>
    <row r="8" spans="1:2">
      <c r="A8" s="4" t="s">
        <v>866</v>
      </c>
      <c r="B8" s="4" t="s">
        <v>867</v>
      </c>
    </row>
    <row r="9" spans="1:2" ht="27">
      <c r="A9" s="4" t="s">
        <v>868</v>
      </c>
      <c r="B9" s="4" t="s">
        <v>869</v>
      </c>
    </row>
    <row r="10" spans="1:2" ht="27">
      <c r="A10" s="4" t="s">
        <v>870</v>
      </c>
      <c r="B10" s="4" t="s">
        <v>871</v>
      </c>
    </row>
    <row r="11" spans="1:2">
      <c r="A11" s="4" t="s">
        <v>872</v>
      </c>
      <c r="B11" s="4" t="s">
        <v>873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pane ySplit="1" topLeftCell="A14" activePane="bottomLeft" state="frozen"/>
      <selection pane="bottomLeft" activeCell="C24" sqref="C24"/>
    </sheetView>
  </sheetViews>
  <sheetFormatPr defaultRowHeight="13.5"/>
  <cols>
    <col min="1" max="1" width="27.625" bestFit="1" customWidth="1"/>
    <col min="2" max="2" width="11.75" bestFit="1" customWidth="1"/>
    <col min="3" max="3" width="44" bestFit="1" customWidth="1"/>
  </cols>
  <sheetData>
    <row r="1" spans="1:3" ht="13.9">
      <c r="A1" s="1" t="s">
        <v>874</v>
      </c>
      <c r="B1" s="1" t="s">
        <v>875</v>
      </c>
      <c r="C1" s="1" t="s">
        <v>876</v>
      </c>
    </row>
    <row r="2" spans="1:3">
      <c r="A2" s="3" t="s">
        <v>877</v>
      </c>
      <c r="B2" s="3">
        <f>COUNTA('04_Test cases'!A2:A200)</f>
        <v>70</v>
      </c>
      <c r="C2" s="3" t="s">
        <v>878</v>
      </c>
    </row>
    <row r="3" spans="1:3">
      <c r="A3" s="3" t="s">
        <v>879</v>
      </c>
      <c r="B3" s="3">
        <f>COUNTIF('04_Test cases'!K2:K200,"Executed")</f>
        <v>8</v>
      </c>
      <c r="C3" s="3" t="s">
        <v>880</v>
      </c>
    </row>
    <row r="4" spans="1:3">
      <c r="A4" s="3" t="s">
        <v>251</v>
      </c>
      <c r="B4" s="3">
        <f>COUNTIF('04_Test cases'!L2:L200,"Pass")</f>
        <v>8</v>
      </c>
      <c r="C4" s="3" t="s">
        <v>881</v>
      </c>
    </row>
    <row r="5" spans="1:3">
      <c r="A5" s="3" t="s">
        <v>882</v>
      </c>
      <c r="B5" s="3">
        <f>COUNTIF('04_Test cases'!L2:L200,"Fail")</f>
        <v>0</v>
      </c>
      <c r="C5" s="3" t="s">
        <v>883</v>
      </c>
    </row>
    <row r="6" spans="1:3">
      <c r="A6" s="3" t="s">
        <v>884</v>
      </c>
      <c r="B6" s="3">
        <f>COUNTIF('04_Test cases'!K2:K200,"Not Executed")</f>
        <v>62</v>
      </c>
      <c r="C6" s="3" t="s">
        <v>885</v>
      </c>
    </row>
    <row r="7" spans="1:3">
      <c r="A7" s="3" t="s">
        <v>886</v>
      </c>
      <c r="B7" s="5">
        <f>IFERROR(B3/B2,0)</f>
        <v>0.11428571428571428</v>
      </c>
      <c r="C7" s="3" t="s">
        <v>887</v>
      </c>
    </row>
    <row r="8" spans="1:3">
      <c r="A8" s="3" t="s">
        <v>888</v>
      </c>
      <c r="B8" s="5">
        <f>IFERROR(B4/(B4+B5),0)</f>
        <v>1</v>
      </c>
      <c r="C8" s="3" t="s">
        <v>889</v>
      </c>
    </row>
    <row r="9" spans="1:3">
      <c r="A9" s="3" t="s">
        <v>890</v>
      </c>
      <c r="B9" s="3">
        <f>COUNTA('02_Bugs'!A2:A100)</f>
        <v>14</v>
      </c>
      <c r="C9" s="3" t="s">
        <v>891</v>
      </c>
    </row>
    <row r="10" spans="1:3">
      <c r="A10" s="3" t="s">
        <v>892</v>
      </c>
      <c r="B10" s="3">
        <f>COUNTIF('02_Bugs'!D2:D100,"High")</f>
        <v>5</v>
      </c>
      <c r="C10" s="3" t="s">
        <v>893</v>
      </c>
    </row>
    <row r="11" spans="1:3">
      <c r="A11" s="3" t="s">
        <v>894</v>
      </c>
      <c r="B11" s="3">
        <f>COUNTA('03_Tinh nang'!A2:A100)</f>
        <v>10</v>
      </c>
      <c r="C11" s="3" t="s">
        <v>895</v>
      </c>
    </row>
    <row r="12" spans="1:3">
      <c r="A12" s="3" t="s">
        <v>896</v>
      </c>
      <c r="B12" s="3">
        <f>COUNTA('05_RTM'!A2:A100)</f>
        <v>23</v>
      </c>
      <c r="C12" s="3" t="s">
        <v>897</v>
      </c>
    </row>
    <row r="13" spans="1:3">
      <c r="A13" s="3" t="s">
        <v>898</v>
      </c>
      <c r="B13" s="3" t="s">
        <v>884</v>
      </c>
      <c r="C13" s="3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00_Huong dan</vt:lpstr>
      <vt:lpstr>01_Tong quan</vt:lpstr>
      <vt:lpstr>02_Bugs</vt:lpstr>
      <vt:lpstr>03_Tinh nang</vt:lpstr>
      <vt:lpstr>04_Test cases</vt:lpstr>
      <vt:lpstr>05_RTM</vt:lpstr>
      <vt:lpstr>06_Cong viec</vt:lpstr>
      <vt:lpstr>07_Kiem tra tinh</vt:lpstr>
      <vt:lpstr>08_Dashboard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 Bao</cp:lastModifiedBy>
  <dcterms:modified xsi:type="dcterms:W3CDTF">2026-10-28T01:09:09Z</dcterms:modified>
</cp:coreProperties>
</file>